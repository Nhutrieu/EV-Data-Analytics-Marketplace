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<sst xmlns="http://schemas.openxmlformats.org/spreadsheetml/2006/main" count="24" uniqueCount="24">
  <si>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Time</t>
  </si>
  <si>
    <t>Ma</t>
  </si>
  <si>
    <t>Mo</t>
  </si>
  <si>
    <t>Mp</t>
  </si>
  <si>
    <t>Mw</t>
  </si>
  <si>
    <t>q (xe/h)</t>
  </si>
  <si>
    <t>k (xe/km)</t>
  </si>
  <si>
    <t>v_s (km/h)</t>
  </si>
  <si>
    <t>v_f</t>
  </si>
  <si>
    <t>b</t>
  </si>
  <si>
    <t>Kj</t>
  </si>
  <si>
    <t>08:00-09:00</t>
  </si>
  <si>
    <t>09:00-10:00</t>
  </si>
  <si>
    <t>10:00-11:00</t>
  </si>
  <si>
    <t>11:00-12:00</t>
  </si>
  <si>
    <t>L(km)</t>
  </si>
  <si>
    <t>Vobs(km/h)</t>
  </si>
  <si>
    <t>Tobs(h)</t>
  </si>
  <si>
    <t>k</t>
  </si>
  <si>
    <t>v_k</t>
  </si>
  <si>
    <t>q_k</t>
  </si>
  <si>
    <t>q_max</t>
  </si>
  <si>
    <t>k_qmax</t>
  </si>
  <si>
    <t>v_qmax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</si>
</sst>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v_k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Data!$B$12</c:f>
              <c:strCache>
                <c:ptCount val="1"/>
                <c:pt idx="0">
                  <c:v>v_k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Data!$A$13:$A$136</c:f>
              <c:numCache>
                <c:formatCode>General</c:formatCode>
                <c:ptCount val="1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</c:numCache>
            </c:numRef>
          </c:xVal>
          <c:yVal>
            <c:numRef>
              <c:f>Data!$B$13:$B$136</c:f>
              <c:numCache>
                <c:formatCode>General</c:formatCode>
                <c:ptCount val="124"/>
                <c:pt idx="0">
                  <c:v>69.0389013435564</c:v>
                </c:pt>
                <c:pt idx="1">
                  <c:v>68.4652880725162</c:v>
                </c:pt>
                <c:pt idx="2">
                  <c:v>67.891674801476</c:v>
                </c:pt>
                <c:pt idx="3">
                  <c:v>67.3180615304358</c:v>
                </c:pt>
                <c:pt idx="4">
                  <c:v>66.7444482593956</c:v>
                </c:pt>
                <c:pt idx="5">
                  <c:v>66.1708349883554</c:v>
                </c:pt>
                <c:pt idx="6">
                  <c:v>65.5972217173152</c:v>
                </c:pt>
                <c:pt idx="7">
                  <c:v>65.023608446275</c:v>
                </c:pt>
                <c:pt idx="8">
                  <c:v>64.4499951752348</c:v>
                </c:pt>
                <c:pt idx="9">
                  <c:v>63.8763819041947</c:v>
                </c:pt>
                <c:pt idx="10">
                  <c:v>63.3027686331545</c:v>
                </c:pt>
                <c:pt idx="11">
                  <c:v>62.7291553621143</c:v>
                </c:pt>
                <c:pt idx="12">
                  <c:v>62.1555420910741</c:v>
                </c:pt>
                <c:pt idx="13">
                  <c:v>61.5819288200339</c:v>
                </c:pt>
                <c:pt idx="14">
                  <c:v>61.0083155489937</c:v>
                </c:pt>
                <c:pt idx="15">
                  <c:v>60.4347022779535</c:v>
                </c:pt>
                <c:pt idx="16">
                  <c:v>59.8610890069133</c:v>
                </c:pt>
                <c:pt idx="17">
                  <c:v>59.2874757358731</c:v>
                </c:pt>
                <c:pt idx="18">
                  <c:v>58.7138624648329</c:v>
                </c:pt>
                <c:pt idx="19">
                  <c:v>58.1402491937927</c:v>
                </c:pt>
                <c:pt idx="20">
                  <c:v>57.5666359227525</c:v>
                </c:pt>
                <c:pt idx="21">
                  <c:v>56.9930226517123</c:v>
                </c:pt>
                <c:pt idx="22">
                  <c:v>56.4194093806721</c:v>
                </c:pt>
                <c:pt idx="23">
                  <c:v>55.8457961096319</c:v>
                </c:pt>
                <c:pt idx="24">
                  <c:v>55.2721828385918</c:v>
                </c:pt>
                <c:pt idx="25">
                  <c:v>54.6985695675516</c:v>
                </c:pt>
                <c:pt idx="26">
                  <c:v>54.1249562965114</c:v>
                </c:pt>
                <c:pt idx="27">
                  <c:v>53.5513430254712</c:v>
                </c:pt>
                <c:pt idx="28">
                  <c:v>52.977729754431</c:v>
                </c:pt>
                <c:pt idx="29">
                  <c:v>52.4041164833908</c:v>
                </c:pt>
                <c:pt idx="30">
                  <c:v>51.8305032123506</c:v>
                </c:pt>
                <c:pt idx="31">
                  <c:v>51.2568899413104</c:v>
                </c:pt>
                <c:pt idx="32">
                  <c:v>50.6832766702702</c:v>
                </c:pt>
                <c:pt idx="33">
                  <c:v>50.10966339923</c:v>
                </c:pt>
                <c:pt idx="34">
                  <c:v>49.5360501281898</c:v>
                </c:pt>
                <c:pt idx="35">
                  <c:v>48.9624368571496</c:v>
                </c:pt>
                <c:pt idx="36">
                  <c:v>48.3888235861094</c:v>
                </c:pt>
                <c:pt idx="37">
                  <c:v>47.8152103150692</c:v>
                </c:pt>
                <c:pt idx="38">
                  <c:v>47.241597044029</c:v>
                </c:pt>
                <c:pt idx="39">
                  <c:v>46.6679837729888</c:v>
                </c:pt>
                <c:pt idx="40">
                  <c:v>46.0943705019487</c:v>
                </c:pt>
                <c:pt idx="41">
                  <c:v>45.5207572309085</c:v>
                </c:pt>
                <c:pt idx="42">
                  <c:v>44.9471439598683</c:v>
                </c:pt>
                <c:pt idx="43">
                  <c:v>44.3735306888281</c:v>
                </c:pt>
                <c:pt idx="44">
                  <c:v>43.7999174177879</c:v>
                </c:pt>
                <c:pt idx="45">
                  <c:v>43.2263041467477</c:v>
                </c:pt>
                <c:pt idx="46">
                  <c:v>42.6526908757075</c:v>
                </c:pt>
                <c:pt idx="47">
                  <c:v>42.0790776046673</c:v>
                </c:pt>
                <c:pt idx="48">
                  <c:v>41.5054643336271</c:v>
                </c:pt>
                <c:pt idx="49">
                  <c:v>40.9318510625869</c:v>
                </c:pt>
                <c:pt idx="50">
                  <c:v>40.3582377915467</c:v>
                </c:pt>
                <c:pt idx="51">
                  <c:v>39.7846245205065</c:v>
                </c:pt>
                <c:pt idx="52">
                  <c:v>39.2110112494663</c:v>
                </c:pt>
                <c:pt idx="53">
                  <c:v>38.6373979784261</c:v>
                </c:pt>
                <c:pt idx="54">
                  <c:v>38.0637847073859</c:v>
                </c:pt>
                <c:pt idx="55">
                  <c:v>37.4901714363457</c:v>
                </c:pt>
                <c:pt idx="56">
                  <c:v>36.9165581653056</c:v>
                </c:pt>
                <c:pt idx="57">
                  <c:v>36.3429448942654</c:v>
                </c:pt>
                <c:pt idx="58">
                  <c:v>35.7693316232252</c:v>
                </c:pt>
                <c:pt idx="59">
                  <c:v>35.195718352185</c:v>
                </c:pt>
                <c:pt idx="60">
                  <c:v>34.6221050811448</c:v>
                </c:pt>
                <c:pt idx="61">
                  <c:v>34.0484918101046</c:v>
                </c:pt>
                <c:pt idx="62">
                  <c:v>33.4748785390644</c:v>
                </c:pt>
                <c:pt idx="63">
                  <c:v>32.9012652680242</c:v>
                </c:pt>
                <c:pt idx="64">
                  <c:v>32.327651996984</c:v>
                </c:pt>
                <c:pt idx="65">
                  <c:v>31.7540387259438</c:v>
                </c:pt>
                <c:pt idx="66">
                  <c:v>31.1804254549036</c:v>
                </c:pt>
                <c:pt idx="67">
                  <c:v>30.6068121838634</c:v>
                </c:pt>
                <c:pt idx="68">
                  <c:v>30.0331989128232</c:v>
                </c:pt>
                <c:pt idx="69">
                  <c:v>29.459585641783</c:v>
                </c:pt>
                <c:pt idx="70">
                  <c:v>28.8859723707428</c:v>
                </c:pt>
                <c:pt idx="71">
                  <c:v>28.3123590997026</c:v>
                </c:pt>
                <c:pt idx="72">
                  <c:v>27.7387458286625</c:v>
                </c:pt>
                <c:pt idx="73">
                  <c:v>27.1651325576223</c:v>
                </c:pt>
                <c:pt idx="74">
                  <c:v>26.5915192865821</c:v>
                </c:pt>
                <c:pt idx="75">
                  <c:v>26.0179060155419</c:v>
                </c:pt>
                <c:pt idx="76">
                  <c:v>25.4442927445017</c:v>
                </c:pt>
                <c:pt idx="77">
                  <c:v>24.8706794734615</c:v>
                </c:pt>
                <c:pt idx="78">
                  <c:v>24.2970662024213</c:v>
                </c:pt>
                <c:pt idx="79">
                  <c:v>23.7234529313811</c:v>
                </c:pt>
                <c:pt idx="80">
                  <c:v>23.1498396603409</c:v>
                </c:pt>
                <c:pt idx="81">
                  <c:v>22.5762263893007</c:v>
                </c:pt>
                <c:pt idx="82">
                  <c:v>22.0026131182605</c:v>
                </c:pt>
                <c:pt idx="83">
                  <c:v>21.4289998472203</c:v>
                </c:pt>
                <c:pt idx="84">
                  <c:v>20.8553865761801</c:v>
                </c:pt>
                <c:pt idx="85">
                  <c:v>20.2817733051399</c:v>
                </c:pt>
                <c:pt idx="86">
                  <c:v>19.7081600340997</c:v>
                </c:pt>
                <c:pt idx="87">
                  <c:v>19.1345467630595</c:v>
                </c:pt>
                <c:pt idx="88">
                  <c:v>18.5609334920194</c:v>
                </c:pt>
                <c:pt idx="89">
                  <c:v>17.9873202209792</c:v>
                </c:pt>
                <c:pt idx="90">
                  <c:v>17.413706949939</c:v>
                </c:pt>
                <c:pt idx="91">
                  <c:v>16.8400936788988</c:v>
                </c:pt>
                <c:pt idx="92">
                  <c:v>16.2664804078586</c:v>
                </c:pt>
                <c:pt idx="93">
                  <c:v>15.6928671368184</c:v>
                </c:pt>
                <c:pt idx="94">
                  <c:v>15.1192538657782</c:v>
                </c:pt>
                <c:pt idx="95">
                  <c:v>14.545640594738</c:v>
                </c:pt>
                <c:pt idx="96">
                  <c:v>13.9720273236978</c:v>
                </c:pt>
                <c:pt idx="97">
                  <c:v>13.3984140526576</c:v>
                </c:pt>
                <c:pt idx="98">
                  <c:v>12.8248007816174</c:v>
                </c:pt>
                <c:pt idx="99">
                  <c:v>12.2511875105772</c:v>
                </c:pt>
                <c:pt idx="100">
                  <c:v>11.677574239537</c:v>
                </c:pt>
                <c:pt idx="101">
                  <c:v>11.1039609684968</c:v>
                </c:pt>
                <c:pt idx="102">
                  <c:v>10.5303476974566</c:v>
                </c:pt>
                <c:pt idx="103">
                  <c:v>9.95673442641645</c:v>
                </c:pt>
                <c:pt idx="104">
                  <c:v>9.38312115537625</c:v>
                </c:pt>
                <c:pt idx="105">
                  <c:v>8.80950788433606</c:v>
                </c:pt>
                <c:pt idx="106">
                  <c:v>8.23589461329586</c:v>
                </c:pt>
                <c:pt idx="107">
                  <c:v>7.66228134225567</c:v>
                </c:pt>
                <c:pt idx="108">
                  <c:v>7.08866807121548</c:v>
                </c:pt>
                <c:pt idx="109">
                  <c:v>6.51505480017529</c:v>
                </c:pt>
                <c:pt idx="110">
                  <c:v>5.94144152913509</c:v>
                </c:pt>
                <c:pt idx="111">
                  <c:v>5.3678282580949</c:v>
                </c:pt>
                <c:pt idx="112">
                  <c:v>4.7942149870547</c:v>
                </c:pt>
                <c:pt idx="113">
                  <c:v>4.22060171601451</c:v>
                </c:pt>
                <c:pt idx="114">
                  <c:v>3.64698844497431</c:v>
                </c:pt>
                <c:pt idx="115">
                  <c:v>3.07337517393412</c:v>
                </c:pt>
                <c:pt idx="116">
                  <c:v>2.49976190289392</c:v>
                </c:pt>
                <c:pt idx="117">
                  <c:v>1.92614863185374</c:v>
                </c:pt>
                <c:pt idx="118">
                  <c:v>1.35253536081353</c:v>
                </c:pt>
                <c:pt idx="119">
                  <c:v>0.778922089773346</c:v>
                </c:pt>
                <c:pt idx="120">
                  <c:v>0.205308818733158</c:v>
                </c:pt>
                <c:pt idx="121">
                  <c:v>-0.368304452307044</c:v>
                </c:pt>
                <c:pt idx="122">
                  <c:v>-0.941917723347231</c:v>
                </c:pt>
                <c:pt idx="123">
                  <c:v>-1.51553099438743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"Dữ liệu quan sát"</c:f>
              <c:strCache>
                <c:ptCount val="1"/>
                <c:pt idx="0">
                  <c:v>Dữ liệu quan sát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Data!$G$2:$G$5</c:f>
              <c:numCache>
                <c:formatCode>General</c:formatCode>
                <c:ptCount val="4"/>
                <c:pt idx="0">
                  <c:v>106.875</c:v>
                </c:pt>
                <c:pt idx="1">
                  <c:v>80.625</c:v>
                </c:pt>
                <c:pt idx="2">
                  <c:v>12.5</c:v>
                </c:pt>
                <c:pt idx="3">
                  <c:v>43.75</c:v>
                </c:pt>
              </c:numCache>
            </c:numRef>
          </c:xVal>
          <c:yVal>
            <c:numRef>
              <c:f>Data!$H$2:$H$5</c:f>
              <c:numCache>
                <c:formatCode>General</c:formatCode>
                <c:ptCount val="4"/>
                <c:pt idx="0">
                  <c:v>8.04678362573099</c:v>
                </c:pt>
                <c:pt idx="1">
                  <c:v>24.062015503876</c:v>
                </c:pt>
                <c:pt idx="2">
                  <c:v>64</c:v>
                </c:pt>
                <c:pt idx="3">
                  <c:v>40.2285714285714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232607"/>
        <c:axId val="1913233855"/>
      </c:scatterChart>
      <c:valAx>
        <c:axId val="191323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13233855"/>
        <c:crosses val="autoZero"/>
        <c:crossBetween val="midCat"/>
      </c:valAx>
      <c:valAx>
        <c:axId val="191323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13232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e3c946f-ba0c-4bc8-9743-bd67964ef03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q_k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Data!$E$15</c:f>
              <c:numCache>
                <c:formatCode>General</c:formatCode>
                <c:ptCount val="1"/>
                <c:pt idx="0">
                  <c:v>60.1789610083121</c:v>
                </c:pt>
              </c:numCache>
            </c:numRef>
          </c:xVal>
          <c:yVal>
            <c:numRef>
              <c:f>Data!$E$13</c:f>
              <c:numCache>
                <c:formatCode>General</c:formatCode>
                <c:ptCount val="1"/>
                <c:pt idx="0">
                  <c:v>2077.34467600529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484879"/>
        <c:axId val="1974486543"/>
      </c:scatterChart>
      <c:scatterChart>
        <c:scatterStyle val="smooth"/>
        <c:varyColors val="0"/>
        <c:ser>
          <c:idx val="0"/>
          <c:order val="0"/>
          <c:tx>
            <c:strRef>
              <c:f>Data!$C$12</c:f>
              <c:strCache>
                <c:ptCount val="1"/>
                <c:pt idx="0">
                  <c:v>q_k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Data!$A$13:$A$136</c:f>
              <c:numCache>
                <c:formatCode>General</c:formatCode>
                <c:ptCount val="1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</c:numCache>
            </c:numRef>
          </c:xVal>
          <c:yVal>
            <c:numRef>
              <c:f>Data!$C$13:$C$136</c:f>
              <c:numCache>
                <c:formatCode>General</c:formatCode>
                <c:ptCount val="124"/>
                <c:pt idx="0">
                  <c:v>0</c:v>
                </c:pt>
                <c:pt idx="1">
                  <c:v>68.4652880725162</c:v>
                </c:pt>
                <c:pt idx="2">
                  <c:v>135.783349602952</c:v>
                </c:pt>
                <c:pt idx="3">
                  <c:v>201.954184591307</c:v>
                </c:pt>
                <c:pt idx="4">
                  <c:v>266.977793037583</c:v>
                </c:pt>
                <c:pt idx="5">
                  <c:v>330.854174941777</c:v>
                </c:pt>
                <c:pt idx="6">
                  <c:v>393.583330303891</c:v>
                </c:pt>
                <c:pt idx="7">
                  <c:v>455.165259123925</c:v>
                </c:pt>
                <c:pt idx="8">
                  <c:v>515.599961401879</c:v>
                </c:pt>
                <c:pt idx="9">
                  <c:v>574.887437137752</c:v>
                </c:pt>
                <c:pt idx="10">
                  <c:v>633.027686331545</c:v>
                </c:pt>
                <c:pt idx="11">
                  <c:v>690.020708983257</c:v>
                </c:pt>
                <c:pt idx="12">
                  <c:v>745.866505092889</c:v>
                </c:pt>
                <c:pt idx="13">
                  <c:v>800.565074660441</c:v>
                </c:pt>
                <c:pt idx="14">
                  <c:v>854.116417685912</c:v>
                </c:pt>
                <c:pt idx="15">
                  <c:v>906.520534169302</c:v>
                </c:pt>
                <c:pt idx="16">
                  <c:v>957.777424110613</c:v>
                </c:pt>
                <c:pt idx="17">
                  <c:v>1007.88708750984</c:v>
                </c:pt>
                <c:pt idx="18">
                  <c:v>1056.84952436699</c:v>
                </c:pt>
                <c:pt idx="19">
                  <c:v>1104.66473468206</c:v>
                </c:pt>
                <c:pt idx="20">
                  <c:v>1151.33271845505</c:v>
                </c:pt>
                <c:pt idx="21">
                  <c:v>1196.85347568596</c:v>
                </c:pt>
                <c:pt idx="22">
                  <c:v>1241.22700637479</c:v>
                </c:pt>
                <c:pt idx="23">
                  <c:v>1284.45331052153</c:v>
                </c:pt>
                <c:pt idx="24">
                  <c:v>1326.5323881262</c:v>
                </c:pt>
                <c:pt idx="25">
                  <c:v>1367.46423918879</c:v>
                </c:pt>
                <c:pt idx="26">
                  <c:v>1407.2488637093</c:v>
                </c:pt>
                <c:pt idx="27">
                  <c:v>1445.88626168772</c:v>
                </c:pt>
                <c:pt idx="28">
                  <c:v>1483.37643312407</c:v>
                </c:pt>
                <c:pt idx="29">
                  <c:v>1519.71937801833</c:v>
                </c:pt>
                <c:pt idx="30">
                  <c:v>1554.91509637052</c:v>
                </c:pt>
                <c:pt idx="31">
                  <c:v>1588.96358818062</c:v>
                </c:pt>
                <c:pt idx="32">
                  <c:v>1621.86485344865</c:v>
                </c:pt>
                <c:pt idx="33">
                  <c:v>1653.61889217459</c:v>
                </c:pt>
                <c:pt idx="34">
                  <c:v>1684.22570435845</c:v>
                </c:pt>
                <c:pt idx="35">
                  <c:v>1713.68529000024</c:v>
                </c:pt>
                <c:pt idx="36">
                  <c:v>1741.99764909994</c:v>
                </c:pt>
                <c:pt idx="37">
                  <c:v>1769.16278165756</c:v>
                </c:pt>
                <c:pt idx="38">
                  <c:v>1795.1806876731</c:v>
                </c:pt>
                <c:pt idx="39">
                  <c:v>1820.05136714657</c:v>
                </c:pt>
                <c:pt idx="40">
                  <c:v>1843.77482007795</c:v>
                </c:pt>
                <c:pt idx="41">
                  <c:v>1866.35104646725</c:v>
                </c:pt>
                <c:pt idx="42">
                  <c:v>1887.78004631447</c:v>
                </c:pt>
                <c:pt idx="43">
                  <c:v>1908.06181961961</c:v>
                </c:pt>
                <c:pt idx="44">
                  <c:v>1927.19636638267</c:v>
                </c:pt>
                <c:pt idx="45">
                  <c:v>1945.18368660365</c:v>
                </c:pt>
                <c:pt idx="46">
                  <c:v>1962.02378028254</c:v>
                </c:pt>
                <c:pt idx="47">
                  <c:v>1977.71664741936</c:v>
                </c:pt>
                <c:pt idx="48">
                  <c:v>1992.2622880141</c:v>
                </c:pt>
                <c:pt idx="49">
                  <c:v>2005.66070206676</c:v>
                </c:pt>
                <c:pt idx="50">
                  <c:v>2017.91188957734</c:v>
                </c:pt>
                <c:pt idx="51">
                  <c:v>2029.01585054583</c:v>
                </c:pt>
                <c:pt idx="52">
                  <c:v>2038.97258497225</c:v>
                </c:pt>
                <c:pt idx="53">
                  <c:v>2047.78209285659</c:v>
                </c:pt>
                <c:pt idx="54">
                  <c:v>2055.44437419884</c:v>
                </c:pt>
                <c:pt idx="55">
                  <c:v>2061.95942899902</c:v>
                </c:pt>
                <c:pt idx="56">
                  <c:v>2067.32725725711</c:v>
                </c:pt>
                <c:pt idx="57">
                  <c:v>2071.54785897313</c:v>
                </c:pt>
                <c:pt idx="58">
                  <c:v>2074.62123414706</c:v>
                </c:pt>
                <c:pt idx="59">
                  <c:v>2076.54738277891</c:v>
                </c:pt>
                <c:pt idx="60">
                  <c:v>2077.32630486869</c:v>
                </c:pt>
                <c:pt idx="61">
                  <c:v>2076.95800041638</c:v>
                </c:pt>
                <c:pt idx="62">
                  <c:v>2075.44246942199</c:v>
                </c:pt>
                <c:pt idx="63">
                  <c:v>2072.77971188552</c:v>
                </c:pt>
                <c:pt idx="64">
                  <c:v>2068.96972780698</c:v>
                </c:pt>
                <c:pt idx="65">
                  <c:v>2064.01251718635</c:v>
                </c:pt>
                <c:pt idx="66">
                  <c:v>2057.90808002364</c:v>
                </c:pt>
                <c:pt idx="67">
                  <c:v>2050.65641631885</c:v>
                </c:pt>
                <c:pt idx="68">
                  <c:v>2042.25752607198</c:v>
                </c:pt>
                <c:pt idx="69">
                  <c:v>2032.71140928303</c:v>
                </c:pt>
                <c:pt idx="70">
                  <c:v>2022.018065952</c:v>
                </c:pt>
                <c:pt idx="71">
                  <c:v>2010.17749607889</c:v>
                </c:pt>
                <c:pt idx="72">
                  <c:v>1997.1896996637</c:v>
                </c:pt>
                <c:pt idx="73">
                  <c:v>1983.05467670642</c:v>
                </c:pt>
                <c:pt idx="74">
                  <c:v>1967.77242720707</c:v>
                </c:pt>
                <c:pt idx="75">
                  <c:v>1951.34295116564</c:v>
                </c:pt>
                <c:pt idx="76">
                  <c:v>1933.76624858213</c:v>
                </c:pt>
                <c:pt idx="77">
                  <c:v>1915.04231945653</c:v>
                </c:pt>
                <c:pt idx="78">
                  <c:v>1895.17116378886</c:v>
                </c:pt>
                <c:pt idx="79">
                  <c:v>1874.15278157911</c:v>
                </c:pt>
                <c:pt idx="80">
                  <c:v>1851.98717282727</c:v>
                </c:pt>
                <c:pt idx="81">
                  <c:v>1828.67433753336</c:v>
                </c:pt>
                <c:pt idx="82">
                  <c:v>1804.21427569736</c:v>
                </c:pt>
                <c:pt idx="83">
                  <c:v>1778.60698731929</c:v>
                </c:pt>
                <c:pt idx="84">
                  <c:v>1751.85247239913</c:v>
                </c:pt>
                <c:pt idx="85">
                  <c:v>1723.95073093689</c:v>
                </c:pt>
                <c:pt idx="86">
                  <c:v>1694.90176293258</c:v>
                </c:pt>
                <c:pt idx="87">
                  <c:v>1664.70556838618</c:v>
                </c:pt>
                <c:pt idx="88">
                  <c:v>1633.3621472977</c:v>
                </c:pt>
                <c:pt idx="89">
                  <c:v>1600.87149966714</c:v>
                </c:pt>
                <c:pt idx="90">
                  <c:v>1567.23362549451</c:v>
                </c:pt>
                <c:pt idx="91">
                  <c:v>1532.44852477979</c:v>
                </c:pt>
                <c:pt idx="92">
                  <c:v>1496.51619752299</c:v>
                </c:pt>
                <c:pt idx="93">
                  <c:v>1459.43664372411</c:v>
                </c:pt>
                <c:pt idx="94">
                  <c:v>1421.20986338315</c:v>
                </c:pt>
                <c:pt idx="95">
                  <c:v>1381.83585650011</c:v>
                </c:pt>
                <c:pt idx="96">
                  <c:v>1341.31462307499</c:v>
                </c:pt>
                <c:pt idx="97">
                  <c:v>1299.64616310779</c:v>
                </c:pt>
                <c:pt idx="98">
                  <c:v>1256.83047659851</c:v>
                </c:pt>
                <c:pt idx="99">
                  <c:v>1212.86756354714</c:v>
                </c:pt>
                <c:pt idx="100">
                  <c:v>1167.7574239537</c:v>
                </c:pt>
                <c:pt idx="101">
                  <c:v>1121.50005781818</c:v>
                </c:pt>
                <c:pt idx="102">
                  <c:v>1074.09546514058</c:v>
                </c:pt>
                <c:pt idx="103">
                  <c:v>1025.54364592089</c:v>
                </c:pt>
                <c:pt idx="104">
                  <c:v>975.84460015913</c:v>
                </c:pt>
                <c:pt idx="105">
                  <c:v>924.998327855286</c:v>
                </c:pt>
                <c:pt idx="106">
                  <c:v>873.004829009361</c:v>
                </c:pt>
                <c:pt idx="107">
                  <c:v>819.864103621356</c:v>
                </c:pt>
                <c:pt idx="108">
                  <c:v>765.576151691272</c:v>
                </c:pt>
                <c:pt idx="109">
                  <c:v>710.140973219106</c:v>
                </c:pt>
                <c:pt idx="110">
                  <c:v>653.55856820486</c:v>
                </c:pt>
                <c:pt idx="111">
                  <c:v>595.828936648534</c:v>
                </c:pt>
                <c:pt idx="112">
                  <c:v>536.952078550127</c:v>
                </c:pt>
                <c:pt idx="113">
                  <c:v>476.92799390964</c:v>
                </c:pt>
                <c:pt idx="114">
                  <c:v>415.756682727072</c:v>
                </c:pt>
                <c:pt idx="115">
                  <c:v>353.438145002424</c:v>
                </c:pt>
                <c:pt idx="116">
                  <c:v>289.972380735695</c:v>
                </c:pt>
                <c:pt idx="117">
                  <c:v>225.359389926887</c:v>
                </c:pt>
                <c:pt idx="118">
                  <c:v>159.599172575997</c:v>
                </c:pt>
                <c:pt idx="119">
                  <c:v>92.6917286830281</c:v>
                </c:pt>
                <c:pt idx="120">
                  <c:v>24.637058247979</c:v>
                </c:pt>
                <c:pt idx="121">
                  <c:v>-44.5648387291523</c:v>
                </c:pt>
                <c:pt idx="122">
                  <c:v>-114.913962248362</c:v>
                </c:pt>
                <c:pt idx="123">
                  <c:v>-186.410312309654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484879"/>
        <c:axId val="1974486543"/>
      </c:scatterChart>
      <c:valAx>
        <c:axId val="197448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4486543"/>
        <c:crosses val="autoZero"/>
        <c:crossBetween val="midCat"/>
      </c:valAx>
      <c:valAx>
        <c:axId val="197448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4484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d2ca980-640b-4e47-8f13-84241ef4abb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215083</xdr:colOff>
      <xdr:row>12</xdr:row>
      <xdr:rowOff>15876</xdr:rowOff>
    </xdr:from>
    <xdr:to>
      <xdr:col>13</xdr:col>
      <xdr:colOff>200971</xdr:colOff>
      <xdr:row>28</xdr:row>
      <xdr:rowOff>72482</xdr:rowOff>
    </xdr:to>
    <xdr:graphicFrame>
      <xdr:nvGraphicFramePr>
        <xdr:cNvPr id="2" name="Chart 1"/>
        <xdr:cNvGraphicFramePr/>
      </xdr:nvGraphicFramePr>
      <xdr:xfrm>
        <a:off x="5777865" y="2301875"/>
        <a:ext cx="4391660" cy="3104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151641</xdr:colOff>
      <xdr:row>31</xdr:row>
      <xdr:rowOff>71554</xdr:rowOff>
    </xdr:from>
    <xdr:to>
      <xdr:col>13</xdr:col>
      <xdr:colOff>103512</xdr:colOff>
      <xdr:row>46</xdr:row>
      <xdr:rowOff>170597</xdr:rowOff>
    </xdr:to>
    <xdr:graphicFrame>
      <xdr:nvGraphicFramePr>
        <xdr:cNvPr id="3" name="Chart 2"/>
        <xdr:cNvGraphicFramePr/>
      </xdr:nvGraphicFramePr>
      <xdr:xfrm>
        <a:off x="5714365" y="5976620"/>
        <a:ext cx="4358005" cy="295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6"/>
  <sheetViews>
    <sheetView tabSelected="1" zoomScale="67" zoomScaleNormal="67" topLeftCell="B1" workbookViewId="0">
      <selection activeCell="R26" sqref="R26"/>
    </sheetView>
  </sheetViews>
  <sheetFormatPr defaultColWidth="9" defaultRowHeight="15"/>
  <cols>
    <col min="1" max="1" width="10.9047619047619" customWidth="1"/>
    <col min="2" max="2" width="12.0857142857143" customWidth="1"/>
    <col min="3" max="3" width="25.7238095238095" customWidth="1"/>
    <col min="4" max="4" width="3.72380952380952" customWidth="1"/>
    <col min="5" max="5" width="14.5428571428571" customWidth="1"/>
    <col min="6" max="6" width="7.45714285714286" customWidth="1"/>
    <col min="8" max="8" width="12.0857142857143" customWidth="1"/>
    <col min="10" max="10" width="12.0857142857143" customWidth="1"/>
    <col min="11" max="11" width="12.8190476190476" customWidth="1"/>
    <col min="12" max="12" width="11.085714285714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  <c r="L1" t="s">
        <v>10</v>
      </c>
    </row>
    <row r="2" spans="1:12">
      <c r="A2" t="s">
        <v>11</v>
      </c>
      <c r="B2">
        <v>107</v>
      </c>
      <c r="C2">
        <v>10</v>
      </c>
      <c r="D2">
        <v>74</v>
      </c>
      <c r="E2">
        <f>C2-D2</f>
        <v>-64</v>
      </c>
      <c r="F2">
        <f>(E2+B2)/(2*$B$10)</f>
        <v>860</v>
      </c>
      <c r="G2">
        <f>(B2-E2)/(2*$B$10*$B$9)</f>
        <v>106.875</v>
      </c>
      <c r="H2">
        <f>IF(G2&gt;0,F2/G2,"")</f>
        <v>8.04678362573099</v>
      </c>
      <c r="J2">
        <f>INTERCEPT(H2:H5,G2:G5)</f>
        <v>69.0389013435564</v>
      </c>
      <c r="K2">
        <f>SLOPE(H2:H5,G2:G5)</f>
        <v>-0.573613271040194</v>
      </c>
      <c r="L2">
        <f>-J2/K2</f>
        <v>120.357922016624</v>
      </c>
    </row>
    <row r="3" spans="1:8">
      <c r="A3" t="s">
        <v>12</v>
      </c>
      <c r="B3">
        <v>113</v>
      </c>
      <c r="C3">
        <v>25</v>
      </c>
      <c r="D3">
        <v>41</v>
      </c>
      <c r="E3">
        <f>C3-D3</f>
        <v>-16</v>
      </c>
      <c r="F3">
        <f>(E3+B3)/(2*$B$10)</f>
        <v>1940</v>
      </c>
      <c r="G3">
        <f>(B3-E3)/(2*$B$10*$B$9)</f>
        <v>80.625</v>
      </c>
      <c r="H3">
        <f>IF(G3&gt;0,F3/G3,"")</f>
        <v>24.062015503876</v>
      </c>
    </row>
    <row r="4" spans="1:8">
      <c r="A4" t="s">
        <v>13</v>
      </c>
      <c r="B4">
        <v>30</v>
      </c>
      <c r="C4">
        <v>15</v>
      </c>
      <c r="D4">
        <v>5</v>
      </c>
      <c r="E4">
        <f>C4-D4</f>
        <v>10</v>
      </c>
      <c r="F4">
        <f>(E4+B4)/(2*$B$10)</f>
        <v>800</v>
      </c>
      <c r="G4">
        <f>(B4-E4)/(2*$B$10*$B$9)</f>
        <v>12.5</v>
      </c>
      <c r="H4">
        <f>IF(G4&gt;0,F4/G4,"")</f>
        <v>64</v>
      </c>
    </row>
    <row r="5" spans="1:8">
      <c r="A5" t="s">
        <v>14</v>
      </c>
      <c r="B5">
        <v>79</v>
      </c>
      <c r="C5">
        <v>18</v>
      </c>
      <c r="D5">
        <v>9</v>
      </c>
      <c r="E5">
        <f>C5-D5</f>
        <v>9</v>
      </c>
      <c r="F5">
        <f>(E5+B5)/(2*$B$10)</f>
        <v>1760</v>
      </c>
      <c r="G5">
        <f>(B5-E5)/(2*$B$10*$B$9)</f>
        <v>43.75</v>
      </c>
      <c r="H5">
        <f>IF(G5&gt;0,F5/G5,"")</f>
        <v>40.2285714285714</v>
      </c>
    </row>
    <row r="8" spans="1:2">
      <c r="A8" t="s">
        <v>15</v>
      </c>
      <c r="B8">
        <v>0.8</v>
      </c>
    </row>
    <row r="9" spans="1:2">
      <c r="A9" t="s">
        <v>16</v>
      </c>
      <c r="B9">
        <v>32</v>
      </c>
    </row>
    <row r="10" spans="1:2">
      <c r="A10" t="s">
        <v>17</v>
      </c>
      <c r="B10">
        <f>B8/B9</f>
        <v>0.025</v>
      </c>
    </row>
    <row r="12" spans="1:5">
      <c r="A12" t="s">
        <v>18</v>
      </c>
      <c r="B12" t="s">
        <v>19</v>
      </c>
      <c r="C12" t="s">
        <v>20</v>
      </c>
      <c r="E12" t="s">
        <v>21</v>
      </c>
    </row>
    <row r="13" spans="1:5">
      <c r="A13">
        <v>0</v>
      </c>
      <c r="B13">
        <f>$J$2+$K$2*A13</f>
        <v>69.0389013435564</v>
      </c>
      <c r="C13">
        <f>A13*B13</f>
        <v>0</v>
      </c>
      <c r="E13">
        <f>J2*L2/4</f>
        <v>2077.34467600529</v>
      </c>
    </row>
    <row r="14" spans="1:5">
      <c r="A14">
        <f>A13+1</f>
        <v>1</v>
      </c>
      <c r="B14">
        <f>$J$2+$K$2*A14</f>
        <v>68.4652880725162</v>
      </c>
      <c r="C14">
        <f t="shared" ref="C14:C77" si="0">A14*B14</f>
        <v>68.4652880725162</v>
      </c>
      <c r="E14" t="s">
        <v>22</v>
      </c>
    </row>
    <row r="15" spans="1:5">
      <c r="A15">
        <f t="shared" ref="A15:A78" si="1">A14+1</f>
        <v>2</v>
      </c>
      <c r="B15">
        <f t="shared" ref="B15:B78" si="2">$J$2+$K$2*A15</f>
        <v>67.891674801476</v>
      </c>
      <c r="C15">
        <f t="shared" si="0"/>
        <v>135.783349602952</v>
      </c>
      <c r="E15">
        <f>L2/2</f>
        <v>60.1789610083121</v>
      </c>
    </row>
    <row r="16" spans="1:5">
      <c r="A16">
        <f t="shared" si="1"/>
        <v>3</v>
      </c>
      <c r="B16">
        <f t="shared" si="2"/>
        <v>67.3180615304358</v>
      </c>
      <c r="C16">
        <f t="shared" si="0"/>
        <v>201.954184591307</v>
      </c>
      <c r="E16" t="s">
        <v>23</v>
      </c>
    </row>
    <row r="17" spans="1:5">
      <c r="A17">
        <f t="shared" si="1"/>
        <v>4</v>
      </c>
      <c r="B17">
        <f t="shared" si="2"/>
        <v>66.7444482593956</v>
      </c>
      <c r="C17">
        <f t="shared" si="0"/>
        <v>266.977793037583</v>
      </c>
      <c r="E17">
        <f>J2/2</f>
        <v>34.5194506717782</v>
      </c>
    </row>
    <row r="18" spans="1:3">
      <c r="A18">
        <f t="shared" si="1"/>
        <v>5</v>
      </c>
      <c r="B18">
        <f t="shared" si="2"/>
        <v>66.1708349883554</v>
      </c>
      <c r="C18">
        <f t="shared" si="0"/>
        <v>330.854174941777</v>
      </c>
    </row>
    <row r="19" spans="1:3">
      <c r="A19">
        <f t="shared" si="1"/>
        <v>6</v>
      </c>
      <c r="B19">
        <f t="shared" si="2"/>
        <v>65.5972217173152</v>
      </c>
      <c r="C19">
        <f t="shared" si="0"/>
        <v>393.583330303891</v>
      </c>
    </row>
    <row r="20" spans="1:3">
      <c r="A20">
        <f t="shared" si="1"/>
        <v>7</v>
      </c>
      <c r="B20">
        <f t="shared" si="2"/>
        <v>65.023608446275</v>
      </c>
      <c r="C20">
        <f t="shared" si="0"/>
        <v>455.165259123925</v>
      </c>
    </row>
    <row r="21" spans="1:3">
      <c r="A21">
        <f t="shared" si="1"/>
        <v>8</v>
      </c>
      <c r="B21">
        <f t="shared" si="2"/>
        <v>64.4499951752348</v>
      </c>
      <c r="C21">
        <f t="shared" si="0"/>
        <v>515.599961401879</v>
      </c>
    </row>
    <row r="22" spans="1:3">
      <c r="A22">
        <f t="shared" si="1"/>
        <v>9</v>
      </c>
      <c r="B22">
        <f t="shared" si="2"/>
        <v>63.8763819041947</v>
      </c>
      <c r="C22">
        <f t="shared" si="0"/>
        <v>574.887437137752</v>
      </c>
    </row>
    <row r="23" spans="1:3">
      <c r="A23">
        <f t="shared" si="1"/>
        <v>10</v>
      </c>
      <c r="B23">
        <f t="shared" si="2"/>
        <v>63.3027686331545</v>
      </c>
      <c r="C23">
        <f t="shared" si="0"/>
        <v>633.027686331545</v>
      </c>
    </row>
    <row r="24" spans="1:3">
      <c r="A24">
        <f t="shared" si="1"/>
        <v>11</v>
      </c>
      <c r="B24">
        <f t="shared" si="2"/>
        <v>62.7291553621143</v>
      </c>
      <c r="C24">
        <f t="shared" si="0"/>
        <v>690.020708983257</v>
      </c>
    </row>
    <row r="25" spans="1:3">
      <c r="A25">
        <f t="shared" si="1"/>
        <v>12</v>
      </c>
      <c r="B25">
        <f t="shared" si="2"/>
        <v>62.1555420910741</v>
      </c>
      <c r="C25">
        <f t="shared" si="0"/>
        <v>745.866505092889</v>
      </c>
    </row>
    <row r="26" spans="1:3">
      <c r="A26">
        <f t="shared" si="1"/>
        <v>13</v>
      </c>
      <c r="B26">
        <f t="shared" si="2"/>
        <v>61.5819288200339</v>
      </c>
      <c r="C26">
        <f t="shared" si="0"/>
        <v>800.565074660441</v>
      </c>
    </row>
    <row r="27" spans="1:3">
      <c r="A27">
        <f t="shared" si="1"/>
        <v>14</v>
      </c>
      <c r="B27">
        <f t="shared" si="2"/>
        <v>61.0083155489937</v>
      </c>
      <c r="C27">
        <f t="shared" si="0"/>
        <v>854.116417685912</v>
      </c>
    </row>
    <row r="28" spans="1:3">
      <c r="A28">
        <f t="shared" si="1"/>
        <v>15</v>
      </c>
      <c r="B28">
        <f t="shared" si="2"/>
        <v>60.4347022779535</v>
      </c>
      <c r="C28">
        <f t="shared" si="0"/>
        <v>906.520534169302</v>
      </c>
    </row>
    <row r="29" spans="1:3">
      <c r="A29">
        <f t="shared" si="1"/>
        <v>16</v>
      </c>
      <c r="B29">
        <f t="shared" si="2"/>
        <v>59.8610890069133</v>
      </c>
      <c r="C29">
        <f t="shared" si="0"/>
        <v>957.777424110613</v>
      </c>
    </row>
    <row r="30" spans="1:3">
      <c r="A30">
        <f t="shared" si="1"/>
        <v>17</v>
      </c>
      <c r="B30">
        <f t="shared" si="2"/>
        <v>59.2874757358731</v>
      </c>
      <c r="C30">
        <f t="shared" si="0"/>
        <v>1007.88708750984</v>
      </c>
    </row>
    <row r="31" spans="1:3">
      <c r="A31">
        <f t="shared" si="1"/>
        <v>18</v>
      </c>
      <c r="B31">
        <f t="shared" si="2"/>
        <v>58.7138624648329</v>
      </c>
      <c r="C31">
        <f t="shared" si="0"/>
        <v>1056.84952436699</v>
      </c>
    </row>
    <row r="32" spans="1:3">
      <c r="A32">
        <f t="shared" si="1"/>
        <v>19</v>
      </c>
      <c r="B32">
        <f t="shared" si="2"/>
        <v>58.1402491937927</v>
      </c>
      <c r="C32">
        <f t="shared" si="0"/>
        <v>1104.66473468206</v>
      </c>
    </row>
    <row r="33" spans="1:3">
      <c r="A33">
        <f t="shared" si="1"/>
        <v>20</v>
      </c>
      <c r="B33">
        <f t="shared" si="2"/>
        <v>57.5666359227525</v>
      </c>
      <c r="C33">
        <f t="shared" si="0"/>
        <v>1151.33271845505</v>
      </c>
    </row>
    <row r="34" spans="1:3">
      <c r="A34">
        <f t="shared" si="1"/>
        <v>21</v>
      </c>
      <c r="B34">
        <f t="shared" si="2"/>
        <v>56.9930226517123</v>
      </c>
      <c r="C34">
        <f t="shared" si="0"/>
        <v>1196.85347568596</v>
      </c>
    </row>
    <row r="35" spans="1:3">
      <c r="A35">
        <f t="shared" si="1"/>
        <v>22</v>
      </c>
      <c r="B35">
        <f t="shared" si="2"/>
        <v>56.4194093806721</v>
      </c>
      <c r="C35">
        <f t="shared" si="0"/>
        <v>1241.22700637479</v>
      </c>
    </row>
    <row r="36" spans="1:3">
      <c r="A36">
        <f t="shared" si="1"/>
        <v>23</v>
      </c>
      <c r="B36">
        <f t="shared" si="2"/>
        <v>55.8457961096319</v>
      </c>
      <c r="C36">
        <f t="shared" si="0"/>
        <v>1284.45331052153</v>
      </c>
    </row>
    <row r="37" spans="1:3">
      <c r="A37">
        <f t="shared" si="1"/>
        <v>24</v>
      </c>
      <c r="B37">
        <f t="shared" si="2"/>
        <v>55.2721828385918</v>
      </c>
      <c r="C37">
        <f t="shared" si="0"/>
        <v>1326.5323881262</v>
      </c>
    </row>
    <row r="38" spans="1:3">
      <c r="A38">
        <f t="shared" si="1"/>
        <v>25</v>
      </c>
      <c r="B38">
        <f t="shared" si="2"/>
        <v>54.6985695675516</v>
      </c>
      <c r="C38">
        <f t="shared" si="0"/>
        <v>1367.46423918879</v>
      </c>
    </row>
    <row r="39" spans="1:3">
      <c r="A39">
        <f t="shared" si="1"/>
        <v>26</v>
      </c>
      <c r="B39">
        <f t="shared" si="2"/>
        <v>54.1249562965114</v>
      </c>
      <c r="C39">
        <f t="shared" si="0"/>
        <v>1407.2488637093</v>
      </c>
    </row>
    <row r="40" spans="1:3">
      <c r="A40">
        <f t="shared" si="1"/>
        <v>27</v>
      </c>
      <c r="B40">
        <f t="shared" si="2"/>
        <v>53.5513430254712</v>
      </c>
      <c r="C40">
        <f t="shared" si="0"/>
        <v>1445.88626168772</v>
      </c>
    </row>
    <row r="41" spans="1:3">
      <c r="A41">
        <f t="shared" si="1"/>
        <v>28</v>
      </c>
      <c r="B41">
        <f t="shared" si="2"/>
        <v>52.977729754431</v>
      </c>
      <c r="C41">
        <f t="shared" si="0"/>
        <v>1483.37643312407</v>
      </c>
    </row>
    <row r="42" spans="1:3">
      <c r="A42">
        <f t="shared" si="1"/>
        <v>29</v>
      </c>
      <c r="B42">
        <f t="shared" si="2"/>
        <v>52.4041164833908</v>
      </c>
      <c r="C42">
        <f t="shared" si="0"/>
        <v>1519.71937801833</v>
      </c>
    </row>
    <row r="43" spans="1:3">
      <c r="A43">
        <f t="shared" si="1"/>
        <v>30</v>
      </c>
      <c r="B43">
        <f t="shared" si="2"/>
        <v>51.8305032123506</v>
      </c>
      <c r="C43">
        <f t="shared" si="0"/>
        <v>1554.91509637052</v>
      </c>
    </row>
    <row r="44" spans="1:3">
      <c r="A44">
        <f t="shared" si="1"/>
        <v>31</v>
      </c>
      <c r="B44">
        <f t="shared" si="2"/>
        <v>51.2568899413104</v>
      </c>
      <c r="C44">
        <f t="shared" si="0"/>
        <v>1588.96358818062</v>
      </c>
    </row>
    <row r="45" spans="1:3">
      <c r="A45">
        <f t="shared" si="1"/>
        <v>32</v>
      </c>
      <c r="B45">
        <f t="shared" si="2"/>
        <v>50.6832766702702</v>
      </c>
      <c r="C45">
        <f t="shared" si="0"/>
        <v>1621.86485344865</v>
      </c>
    </row>
    <row r="46" spans="1:3">
      <c r="A46">
        <f t="shared" si="1"/>
        <v>33</v>
      </c>
      <c r="B46">
        <f t="shared" si="2"/>
        <v>50.10966339923</v>
      </c>
      <c r="C46">
        <f t="shared" si="0"/>
        <v>1653.61889217459</v>
      </c>
    </row>
    <row r="47" spans="1:3">
      <c r="A47">
        <f t="shared" si="1"/>
        <v>34</v>
      </c>
      <c r="B47">
        <f t="shared" si="2"/>
        <v>49.5360501281898</v>
      </c>
      <c r="C47">
        <f t="shared" si="0"/>
        <v>1684.22570435845</v>
      </c>
    </row>
    <row r="48" spans="1:3">
      <c r="A48">
        <f t="shared" si="1"/>
        <v>35</v>
      </c>
      <c r="B48">
        <f t="shared" si="2"/>
        <v>48.9624368571496</v>
      </c>
      <c r="C48">
        <f t="shared" si="0"/>
        <v>1713.68529000024</v>
      </c>
    </row>
    <row r="49" spans="1:3">
      <c r="A49">
        <f t="shared" si="1"/>
        <v>36</v>
      </c>
      <c r="B49">
        <f t="shared" si="2"/>
        <v>48.3888235861094</v>
      </c>
      <c r="C49">
        <f t="shared" si="0"/>
        <v>1741.99764909994</v>
      </c>
    </row>
    <row r="50" spans="1:3">
      <c r="A50">
        <f t="shared" si="1"/>
        <v>37</v>
      </c>
      <c r="B50">
        <f t="shared" si="2"/>
        <v>47.8152103150692</v>
      </c>
      <c r="C50">
        <f t="shared" si="0"/>
        <v>1769.16278165756</v>
      </c>
    </row>
    <row r="51" spans="1:3">
      <c r="A51">
        <f t="shared" si="1"/>
        <v>38</v>
      </c>
      <c r="B51">
        <f t="shared" si="2"/>
        <v>47.241597044029</v>
      </c>
      <c r="C51">
        <f t="shared" si="0"/>
        <v>1795.1806876731</v>
      </c>
    </row>
    <row r="52" spans="1:3">
      <c r="A52">
        <f t="shared" si="1"/>
        <v>39</v>
      </c>
      <c r="B52">
        <f t="shared" si="2"/>
        <v>46.6679837729888</v>
      </c>
      <c r="C52">
        <f t="shared" si="0"/>
        <v>1820.05136714657</v>
      </c>
    </row>
    <row r="53" spans="1:3">
      <c r="A53">
        <f t="shared" si="1"/>
        <v>40</v>
      </c>
      <c r="B53">
        <f t="shared" si="2"/>
        <v>46.0943705019487</v>
      </c>
      <c r="C53">
        <f t="shared" si="0"/>
        <v>1843.77482007795</v>
      </c>
    </row>
    <row r="54" spans="1:3">
      <c r="A54">
        <f t="shared" si="1"/>
        <v>41</v>
      </c>
      <c r="B54">
        <f t="shared" si="2"/>
        <v>45.5207572309085</v>
      </c>
      <c r="C54">
        <f t="shared" si="0"/>
        <v>1866.35104646725</v>
      </c>
    </row>
    <row r="55" spans="1:3">
      <c r="A55">
        <f t="shared" si="1"/>
        <v>42</v>
      </c>
      <c r="B55">
        <f t="shared" si="2"/>
        <v>44.9471439598683</v>
      </c>
      <c r="C55">
        <f t="shared" si="0"/>
        <v>1887.78004631447</v>
      </c>
    </row>
    <row r="56" spans="1:3">
      <c r="A56">
        <f t="shared" si="1"/>
        <v>43</v>
      </c>
      <c r="B56">
        <f t="shared" si="2"/>
        <v>44.3735306888281</v>
      </c>
      <c r="C56">
        <f t="shared" si="0"/>
        <v>1908.06181961961</v>
      </c>
    </row>
    <row r="57" spans="1:3">
      <c r="A57">
        <f t="shared" si="1"/>
        <v>44</v>
      </c>
      <c r="B57">
        <f t="shared" si="2"/>
        <v>43.7999174177879</v>
      </c>
      <c r="C57">
        <f t="shared" si="0"/>
        <v>1927.19636638267</v>
      </c>
    </row>
    <row r="58" spans="1:3">
      <c r="A58">
        <f t="shared" si="1"/>
        <v>45</v>
      </c>
      <c r="B58">
        <f t="shared" si="2"/>
        <v>43.2263041467477</v>
      </c>
      <c r="C58">
        <f t="shared" si="0"/>
        <v>1945.18368660365</v>
      </c>
    </row>
    <row r="59" spans="1:3">
      <c r="A59">
        <f t="shared" si="1"/>
        <v>46</v>
      </c>
      <c r="B59">
        <f t="shared" si="2"/>
        <v>42.6526908757075</v>
      </c>
      <c r="C59">
        <f t="shared" si="0"/>
        <v>1962.02378028254</v>
      </c>
    </row>
    <row r="60" spans="1:3">
      <c r="A60">
        <f t="shared" si="1"/>
        <v>47</v>
      </c>
      <c r="B60">
        <f t="shared" si="2"/>
        <v>42.0790776046673</v>
      </c>
      <c r="C60">
        <f t="shared" si="0"/>
        <v>1977.71664741936</v>
      </c>
    </row>
    <row r="61" spans="1:3">
      <c r="A61">
        <f t="shared" si="1"/>
        <v>48</v>
      </c>
      <c r="B61">
        <f t="shared" si="2"/>
        <v>41.5054643336271</v>
      </c>
      <c r="C61">
        <f t="shared" si="0"/>
        <v>1992.2622880141</v>
      </c>
    </row>
    <row r="62" spans="1:3">
      <c r="A62">
        <f t="shared" si="1"/>
        <v>49</v>
      </c>
      <c r="B62">
        <f t="shared" si="2"/>
        <v>40.9318510625869</v>
      </c>
      <c r="C62">
        <f t="shared" si="0"/>
        <v>2005.66070206676</v>
      </c>
    </row>
    <row r="63" spans="1:3">
      <c r="A63">
        <f t="shared" si="1"/>
        <v>50</v>
      </c>
      <c r="B63">
        <f t="shared" si="2"/>
        <v>40.3582377915467</v>
      </c>
      <c r="C63">
        <f t="shared" si="0"/>
        <v>2017.91188957734</v>
      </c>
    </row>
    <row r="64" spans="1:3">
      <c r="A64">
        <f t="shared" si="1"/>
        <v>51</v>
      </c>
      <c r="B64">
        <f t="shared" si="2"/>
        <v>39.7846245205065</v>
      </c>
      <c r="C64">
        <f t="shared" si="0"/>
        <v>2029.01585054583</v>
      </c>
    </row>
    <row r="65" spans="1:3">
      <c r="A65">
        <f t="shared" si="1"/>
        <v>52</v>
      </c>
      <c r="B65">
        <f t="shared" si="2"/>
        <v>39.2110112494663</v>
      </c>
      <c r="C65">
        <f t="shared" si="0"/>
        <v>2038.97258497225</v>
      </c>
    </row>
    <row r="66" spans="1:3">
      <c r="A66">
        <f t="shared" si="1"/>
        <v>53</v>
      </c>
      <c r="B66">
        <f t="shared" si="2"/>
        <v>38.6373979784261</v>
      </c>
      <c r="C66">
        <f t="shared" si="0"/>
        <v>2047.78209285659</v>
      </c>
    </row>
    <row r="67" spans="1:3">
      <c r="A67">
        <f t="shared" si="1"/>
        <v>54</v>
      </c>
      <c r="B67">
        <f t="shared" si="2"/>
        <v>38.0637847073859</v>
      </c>
      <c r="C67">
        <f t="shared" si="0"/>
        <v>2055.44437419884</v>
      </c>
    </row>
    <row r="68" spans="1:3">
      <c r="A68">
        <f t="shared" si="1"/>
        <v>55</v>
      </c>
      <c r="B68">
        <f t="shared" si="2"/>
        <v>37.4901714363457</v>
      </c>
      <c r="C68">
        <f t="shared" si="0"/>
        <v>2061.95942899902</v>
      </c>
    </row>
    <row r="69" spans="1:3">
      <c r="A69">
        <f t="shared" si="1"/>
        <v>56</v>
      </c>
      <c r="B69">
        <f t="shared" si="2"/>
        <v>36.9165581653056</v>
      </c>
      <c r="C69">
        <f t="shared" si="0"/>
        <v>2067.32725725711</v>
      </c>
    </row>
    <row r="70" spans="1:3">
      <c r="A70">
        <f t="shared" si="1"/>
        <v>57</v>
      </c>
      <c r="B70">
        <f t="shared" si="2"/>
        <v>36.3429448942654</v>
      </c>
      <c r="C70">
        <f t="shared" si="0"/>
        <v>2071.54785897313</v>
      </c>
    </row>
    <row r="71" spans="1:3">
      <c r="A71">
        <f t="shared" si="1"/>
        <v>58</v>
      </c>
      <c r="B71">
        <f t="shared" si="2"/>
        <v>35.7693316232252</v>
      </c>
      <c r="C71">
        <f t="shared" si="0"/>
        <v>2074.62123414706</v>
      </c>
    </row>
    <row r="72" spans="1:3">
      <c r="A72">
        <f t="shared" si="1"/>
        <v>59</v>
      </c>
      <c r="B72">
        <f t="shared" si="2"/>
        <v>35.195718352185</v>
      </c>
      <c r="C72">
        <f t="shared" si="0"/>
        <v>2076.54738277891</v>
      </c>
    </row>
    <row r="73" spans="1:3">
      <c r="A73">
        <f t="shared" si="1"/>
        <v>60</v>
      </c>
      <c r="B73">
        <f t="shared" si="2"/>
        <v>34.6221050811448</v>
      </c>
      <c r="C73">
        <f t="shared" si="0"/>
        <v>2077.32630486869</v>
      </c>
    </row>
    <row r="74" spans="1:3">
      <c r="A74">
        <f t="shared" si="1"/>
        <v>61</v>
      </c>
      <c r="B74">
        <f t="shared" si="2"/>
        <v>34.0484918101046</v>
      </c>
      <c r="C74">
        <f t="shared" si="0"/>
        <v>2076.95800041638</v>
      </c>
    </row>
    <row r="75" spans="1:3">
      <c r="A75">
        <f t="shared" si="1"/>
        <v>62</v>
      </c>
      <c r="B75">
        <f t="shared" si="2"/>
        <v>33.4748785390644</v>
      </c>
      <c r="C75">
        <f t="shared" si="0"/>
        <v>2075.44246942199</v>
      </c>
    </row>
    <row r="76" spans="1:3">
      <c r="A76">
        <f t="shared" si="1"/>
        <v>63</v>
      </c>
      <c r="B76">
        <f t="shared" si="2"/>
        <v>32.9012652680242</v>
      </c>
      <c r="C76">
        <f t="shared" si="0"/>
        <v>2072.77971188552</v>
      </c>
    </row>
    <row r="77" spans="1:3">
      <c r="A77">
        <f t="shared" si="1"/>
        <v>64</v>
      </c>
      <c r="B77">
        <f t="shared" si="2"/>
        <v>32.327651996984</v>
      </c>
      <c r="C77">
        <f t="shared" si="0"/>
        <v>2068.96972780698</v>
      </c>
    </row>
    <row r="78" spans="1:3">
      <c r="A78">
        <f t="shared" si="1"/>
        <v>65</v>
      </c>
      <c r="B78">
        <f t="shared" si="2"/>
        <v>31.7540387259438</v>
      </c>
      <c r="C78">
        <f t="shared" ref="C78:C136" si="3">A78*B78</f>
        <v>2064.01251718635</v>
      </c>
    </row>
    <row r="79" spans="1:3">
      <c r="A79">
        <f t="shared" ref="A79:A136" si="4">A78+1</f>
        <v>66</v>
      </c>
      <c r="B79">
        <f t="shared" ref="B79:B136" si="5">$J$2+$K$2*A79</f>
        <v>31.1804254549036</v>
      </c>
      <c r="C79">
        <f t="shared" si="3"/>
        <v>2057.90808002364</v>
      </c>
    </row>
    <row r="80" spans="1:3">
      <c r="A80">
        <f t="shared" si="4"/>
        <v>67</v>
      </c>
      <c r="B80">
        <f t="shared" si="5"/>
        <v>30.6068121838634</v>
      </c>
      <c r="C80">
        <f t="shared" si="3"/>
        <v>2050.65641631885</v>
      </c>
    </row>
    <row r="81" spans="1:3">
      <c r="A81">
        <f t="shared" si="4"/>
        <v>68</v>
      </c>
      <c r="B81">
        <f t="shared" si="5"/>
        <v>30.0331989128232</v>
      </c>
      <c r="C81">
        <f t="shared" si="3"/>
        <v>2042.25752607198</v>
      </c>
    </row>
    <row r="82" spans="1:3">
      <c r="A82">
        <f t="shared" si="4"/>
        <v>69</v>
      </c>
      <c r="B82">
        <f t="shared" si="5"/>
        <v>29.459585641783</v>
      </c>
      <c r="C82">
        <f t="shared" si="3"/>
        <v>2032.71140928303</v>
      </c>
    </row>
    <row r="83" spans="1:3">
      <c r="A83">
        <f t="shared" si="4"/>
        <v>70</v>
      </c>
      <c r="B83">
        <f t="shared" si="5"/>
        <v>28.8859723707428</v>
      </c>
      <c r="C83">
        <f t="shared" si="3"/>
        <v>2022.018065952</v>
      </c>
    </row>
    <row r="84" spans="1:3">
      <c r="A84">
        <f t="shared" si="4"/>
        <v>71</v>
      </c>
      <c r="B84">
        <f t="shared" si="5"/>
        <v>28.3123590997026</v>
      </c>
      <c r="C84">
        <f t="shared" si="3"/>
        <v>2010.17749607889</v>
      </c>
    </row>
    <row r="85" spans="1:3">
      <c r="A85">
        <f t="shared" si="4"/>
        <v>72</v>
      </c>
      <c r="B85">
        <f t="shared" si="5"/>
        <v>27.7387458286625</v>
      </c>
      <c r="C85">
        <f t="shared" si="3"/>
        <v>1997.1896996637</v>
      </c>
    </row>
    <row r="86" spans="1:3">
      <c r="A86">
        <f t="shared" si="4"/>
        <v>73</v>
      </c>
      <c r="B86">
        <f t="shared" si="5"/>
        <v>27.1651325576223</v>
      </c>
      <c r="C86">
        <f t="shared" si="3"/>
        <v>1983.05467670642</v>
      </c>
    </row>
    <row r="87" spans="1:3">
      <c r="A87">
        <f t="shared" si="4"/>
        <v>74</v>
      </c>
      <c r="B87">
        <f t="shared" si="5"/>
        <v>26.5915192865821</v>
      </c>
      <c r="C87">
        <f t="shared" si="3"/>
        <v>1967.77242720707</v>
      </c>
    </row>
    <row r="88" spans="1:3">
      <c r="A88">
        <f t="shared" si="4"/>
        <v>75</v>
      </c>
      <c r="B88">
        <f t="shared" si="5"/>
        <v>26.0179060155419</v>
      </c>
      <c r="C88">
        <f t="shared" si="3"/>
        <v>1951.34295116564</v>
      </c>
    </row>
    <row r="89" spans="1:3">
      <c r="A89">
        <f t="shared" si="4"/>
        <v>76</v>
      </c>
      <c r="B89">
        <f t="shared" si="5"/>
        <v>25.4442927445017</v>
      </c>
      <c r="C89">
        <f t="shared" si="3"/>
        <v>1933.76624858213</v>
      </c>
    </row>
    <row r="90" spans="1:3">
      <c r="A90">
        <f t="shared" si="4"/>
        <v>77</v>
      </c>
      <c r="B90">
        <f t="shared" si="5"/>
        <v>24.8706794734615</v>
      </c>
      <c r="C90">
        <f t="shared" si="3"/>
        <v>1915.04231945653</v>
      </c>
    </row>
    <row r="91" spans="1:3">
      <c r="A91">
        <f t="shared" si="4"/>
        <v>78</v>
      </c>
      <c r="B91">
        <f t="shared" si="5"/>
        <v>24.2970662024213</v>
      </c>
      <c r="C91">
        <f t="shared" si="3"/>
        <v>1895.17116378886</v>
      </c>
    </row>
    <row r="92" spans="1:3">
      <c r="A92">
        <f t="shared" si="4"/>
        <v>79</v>
      </c>
      <c r="B92">
        <f t="shared" si="5"/>
        <v>23.7234529313811</v>
      </c>
      <c r="C92">
        <f t="shared" si="3"/>
        <v>1874.15278157911</v>
      </c>
    </row>
    <row r="93" spans="1:3">
      <c r="A93">
        <f t="shared" si="4"/>
        <v>80</v>
      </c>
      <c r="B93">
        <f t="shared" si="5"/>
        <v>23.1498396603409</v>
      </c>
      <c r="C93">
        <f t="shared" si="3"/>
        <v>1851.98717282727</v>
      </c>
    </row>
    <row r="94" spans="1:3">
      <c r="A94">
        <f t="shared" si="4"/>
        <v>81</v>
      </c>
      <c r="B94">
        <f t="shared" si="5"/>
        <v>22.5762263893007</v>
      </c>
      <c r="C94">
        <f t="shared" si="3"/>
        <v>1828.67433753336</v>
      </c>
    </row>
    <row r="95" spans="1:3">
      <c r="A95">
        <f t="shared" si="4"/>
        <v>82</v>
      </c>
      <c r="B95">
        <f t="shared" si="5"/>
        <v>22.0026131182605</v>
      </c>
      <c r="C95">
        <f t="shared" si="3"/>
        <v>1804.21427569736</v>
      </c>
    </row>
    <row r="96" spans="1:3">
      <c r="A96">
        <f t="shared" si="4"/>
        <v>83</v>
      </c>
      <c r="B96">
        <f t="shared" si="5"/>
        <v>21.4289998472203</v>
      </c>
      <c r="C96">
        <f t="shared" si="3"/>
        <v>1778.60698731929</v>
      </c>
    </row>
    <row r="97" spans="1:3">
      <c r="A97">
        <f t="shared" si="4"/>
        <v>84</v>
      </c>
      <c r="B97">
        <f t="shared" si="5"/>
        <v>20.8553865761801</v>
      </c>
      <c r="C97">
        <f t="shared" si="3"/>
        <v>1751.85247239913</v>
      </c>
    </row>
    <row r="98" spans="1:3">
      <c r="A98">
        <f t="shared" si="4"/>
        <v>85</v>
      </c>
      <c r="B98">
        <f t="shared" si="5"/>
        <v>20.2817733051399</v>
      </c>
      <c r="C98">
        <f t="shared" si="3"/>
        <v>1723.95073093689</v>
      </c>
    </row>
    <row r="99" spans="1:3">
      <c r="A99">
        <f t="shared" si="4"/>
        <v>86</v>
      </c>
      <c r="B99">
        <f t="shared" si="5"/>
        <v>19.7081600340997</v>
      </c>
      <c r="C99">
        <f t="shared" si="3"/>
        <v>1694.90176293258</v>
      </c>
    </row>
    <row r="100" spans="1:3">
      <c r="A100">
        <f t="shared" si="4"/>
        <v>87</v>
      </c>
      <c r="B100">
        <f t="shared" si="5"/>
        <v>19.1345467630595</v>
      </c>
      <c r="C100">
        <f t="shared" si="3"/>
        <v>1664.70556838618</v>
      </c>
    </row>
    <row r="101" spans="1:3">
      <c r="A101">
        <f t="shared" si="4"/>
        <v>88</v>
      </c>
      <c r="B101">
        <f t="shared" si="5"/>
        <v>18.5609334920194</v>
      </c>
      <c r="C101">
        <f t="shared" si="3"/>
        <v>1633.3621472977</v>
      </c>
    </row>
    <row r="102" spans="1:3">
      <c r="A102">
        <f t="shared" si="4"/>
        <v>89</v>
      </c>
      <c r="B102">
        <f t="shared" si="5"/>
        <v>17.9873202209792</v>
      </c>
      <c r="C102">
        <f t="shared" si="3"/>
        <v>1600.87149966714</v>
      </c>
    </row>
    <row r="103" spans="1:3">
      <c r="A103">
        <f t="shared" si="4"/>
        <v>90</v>
      </c>
      <c r="B103">
        <f t="shared" si="5"/>
        <v>17.413706949939</v>
      </c>
      <c r="C103">
        <f t="shared" si="3"/>
        <v>1567.23362549451</v>
      </c>
    </row>
    <row r="104" spans="1:3">
      <c r="A104">
        <f t="shared" si="4"/>
        <v>91</v>
      </c>
      <c r="B104">
        <f t="shared" si="5"/>
        <v>16.8400936788988</v>
      </c>
      <c r="C104">
        <f t="shared" si="3"/>
        <v>1532.44852477979</v>
      </c>
    </row>
    <row r="105" spans="1:3">
      <c r="A105">
        <f t="shared" si="4"/>
        <v>92</v>
      </c>
      <c r="B105">
        <f t="shared" si="5"/>
        <v>16.2664804078586</v>
      </c>
      <c r="C105">
        <f t="shared" si="3"/>
        <v>1496.51619752299</v>
      </c>
    </row>
    <row r="106" spans="1:3">
      <c r="A106">
        <f t="shared" si="4"/>
        <v>93</v>
      </c>
      <c r="B106">
        <f t="shared" si="5"/>
        <v>15.6928671368184</v>
      </c>
      <c r="C106">
        <f t="shared" si="3"/>
        <v>1459.43664372411</v>
      </c>
    </row>
    <row r="107" spans="1:3">
      <c r="A107">
        <f t="shared" si="4"/>
        <v>94</v>
      </c>
      <c r="B107">
        <f t="shared" si="5"/>
        <v>15.1192538657782</v>
      </c>
      <c r="C107">
        <f t="shared" si="3"/>
        <v>1421.20986338315</v>
      </c>
    </row>
    <row r="108" spans="1:3">
      <c r="A108">
        <f t="shared" si="4"/>
        <v>95</v>
      </c>
      <c r="B108">
        <f t="shared" si="5"/>
        <v>14.545640594738</v>
      </c>
      <c r="C108">
        <f t="shared" si="3"/>
        <v>1381.83585650011</v>
      </c>
    </row>
    <row r="109" spans="1:3">
      <c r="A109">
        <f t="shared" si="4"/>
        <v>96</v>
      </c>
      <c r="B109">
        <f t="shared" si="5"/>
        <v>13.9720273236978</v>
      </c>
      <c r="C109">
        <f t="shared" si="3"/>
        <v>1341.31462307499</v>
      </c>
    </row>
    <row r="110" spans="1:3">
      <c r="A110">
        <f t="shared" si="4"/>
        <v>97</v>
      </c>
      <c r="B110">
        <f t="shared" si="5"/>
        <v>13.3984140526576</v>
      </c>
      <c r="C110">
        <f t="shared" si="3"/>
        <v>1299.64616310779</v>
      </c>
    </row>
    <row r="111" spans="1:3">
      <c r="A111">
        <f t="shared" si="4"/>
        <v>98</v>
      </c>
      <c r="B111">
        <f t="shared" si="5"/>
        <v>12.8248007816174</v>
      </c>
      <c r="C111">
        <f t="shared" si="3"/>
        <v>1256.83047659851</v>
      </c>
    </row>
    <row r="112" spans="1:3">
      <c r="A112">
        <f t="shared" si="4"/>
        <v>99</v>
      </c>
      <c r="B112">
        <f t="shared" si="5"/>
        <v>12.2511875105772</v>
      </c>
      <c r="C112">
        <f t="shared" si="3"/>
        <v>1212.86756354714</v>
      </c>
    </row>
    <row r="113" spans="1:3">
      <c r="A113">
        <f t="shared" si="4"/>
        <v>100</v>
      </c>
      <c r="B113">
        <f t="shared" si="5"/>
        <v>11.677574239537</v>
      </c>
      <c r="C113">
        <f t="shared" si="3"/>
        <v>1167.7574239537</v>
      </c>
    </row>
    <row r="114" spans="1:3">
      <c r="A114">
        <f t="shared" si="4"/>
        <v>101</v>
      </c>
      <c r="B114">
        <f t="shared" si="5"/>
        <v>11.1039609684968</v>
      </c>
      <c r="C114">
        <f t="shared" si="3"/>
        <v>1121.50005781818</v>
      </c>
    </row>
    <row r="115" spans="1:3">
      <c r="A115">
        <f t="shared" si="4"/>
        <v>102</v>
      </c>
      <c r="B115">
        <f t="shared" si="5"/>
        <v>10.5303476974566</v>
      </c>
      <c r="C115">
        <f t="shared" si="3"/>
        <v>1074.09546514058</v>
      </c>
    </row>
    <row r="116" spans="1:3">
      <c r="A116">
        <f t="shared" si="4"/>
        <v>103</v>
      </c>
      <c r="B116">
        <f t="shared" si="5"/>
        <v>9.95673442641645</v>
      </c>
      <c r="C116">
        <f t="shared" si="3"/>
        <v>1025.54364592089</v>
      </c>
    </row>
    <row r="117" spans="1:3">
      <c r="A117">
        <f t="shared" si="4"/>
        <v>104</v>
      </c>
      <c r="B117">
        <f t="shared" si="5"/>
        <v>9.38312115537625</v>
      </c>
      <c r="C117">
        <f t="shared" si="3"/>
        <v>975.84460015913</v>
      </c>
    </row>
    <row r="118" spans="1:3">
      <c r="A118">
        <f t="shared" si="4"/>
        <v>105</v>
      </c>
      <c r="B118">
        <f t="shared" si="5"/>
        <v>8.80950788433606</v>
      </c>
      <c r="C118">
        <f t="shared" si="3"/>
        <v>924.998327855286</v>
      </c>
    </row>
    <row r="119" spans="1:3">
      <c r="A119">
        <f t="shared" si="4"/>
        <v>106</v>
      </c>
      <c r="B119">
        <f t="shared" si="5"/>
        <v>8.23589461329586</v>
      </c>
      <c r="C119">
        <f t="shared" si="3"/>
        <v>873.004829009361</v>
      </c>
    </row>
    <row r="120" spans="1:3">
      <c r="A120">
        <f t="shared" si="4"/>
        <v>107</v>
      </c>
      <c r="B120">
        <f t="shared" si="5"/>
        <v>7.66228134225567</v>
      </c>
      <c r="C120">
        <f t="shared" si="3"/>
        <v>819.864103621356</v>
      </c>
    </row>
    <row r="121" spans="1:3">
      <c r="A121">
        <f t="shared" si="4"/>
        <v>108</v>
      </c>
      <c r="B121">
        <f t="shared" si="5"/>
        <v>7.08866807121548</v>
      </c>
      <c r="C121">
        <f t="shared" si="3"/>
        <v>765.576151691272</v>
      </c>
    </row>
    <row r="122" spans="1:3">
      <c r="A122">
        <f t="shared" si="4"/>
        <v>109</v>
      </c>
      <c r="B122">
        <f t="shared" si="5"/>
        <v>6.51505480017529</v>
      </c>
      <c r="C122">
        <f t="shared" si="3"/>
        <v>710.140973219106</v>
      </c>
    </row>
    <row r="123" spans="1:3">
      <c r="A123">
        <f t="shared" si="4"/>
        <v>110</v>
      </c>
      <c r="B123">
        <f t="shared" si="5"/>
        <v>5.94144152913509</v>
      </c>
      <c r="C123">
        <f t="shared" si="3"/>
        <v>653.55856820486</v>
      </c>
    </row>
    <row r="124" spans="1:3">
      <c r="A124">
        <f t="shared" si="4"/>
        <v>111</v>
      </c>
      <c r="B124">
        <f t="shared" si="5"/>
        <v>5.3678282580949</v>
      </c>
      <c r="C124">
        <f t="shared" si="3"/>
        <v>595.828936648534</v>
      </c>
    </row>
    <row r="125" spans="1:3">
      <c r="A125">
        <f t="shared" si="4"/>
        <v>112</v>
      </c>
      <c r="B125">
        <f t="shared" si="5"/>
        <v>4.7942149870547</v>
      </c>
      <c r="C125">
        <f t="shared" si="3"/>
        <v>536.952078550127</v>
      </c>
    </row>
    <row r="126" spans="1:3">
      <c r="A126">
        <f t="shared" si="4"/>
        <v>113</v>
      </c>
      <c r="B126">
        <f t="shared" si="5"/>
        <v>4.22060171601451</v>
      </c>
      <c r="C126">
        <f t="shared" si="3"/>
        <v>476.92799390964</v>
      </c>
    </row>
    <row r="127" spans="1:3">
      <c r="A127">
        <f t="shared" si="4"/>
        <v>114</v>
      </c>
      <c r="B127">
        <f t="shared" si="5"/>
        <v>3.64698844497431</v>
      </c>
      <c r="C127">
        <f t="shared" si="3"/>
        <v>415.756682727072</v>
      </c>
    </row>
    <row r="128" spans="1:3">
      <c r="A128">
        <f t="shared" si="4"/>
        <v>115</v>
      </c>
      <c r="B128">
        <f t="shared" si="5"/>
        <v>3.07337517393412</v>
      </c>
      <c r="C128">
        <f t="shared" si="3"/>
        <v>353.438145002424</v>
      </c>
    </row>
    <row r="129" spans="1:3">
      <c r="A129">
        <f t="shared" si="4"/>
        <v>116</v>
      </c>
      <c r="B129">
        <f t="shared" si="5"/>
        <v>2.49976190289392</v>
      </c>
      <c r="C129">
        <f t="shared" si="3"/>
        <v>289.972380735695</v>
      </c>
    </row>
    <row r="130" spans="1:3">
      <c r="A130">
        <f t="shared" si="4"/>
        <v>117</v>
      </c>
      <c r="B130">
        <f t="shared" si="5"/>
        <v>1.92614863185374</v>
      </c>
      <c r="C130">
        <f t="shared" si="3"/>
        <v>225.359389926887</v>
      </c>
    </row>
    <row r="131" spans="1:3">
      <c r="A131">
        <f t="shared" si="4"/>
        <v>118</v>
      </c>
      <c r="B131">
        <f t="shared" si="5"/>
        <v>1.35253536081353</v>
      </c>
      <c r="C131">
        <f t="shared" si="3"/>
        <v>159.599172575997</v>
      </c>
    </row>
    <row r="132" spans="1:3">
      <c r="A132">
        <f t="shared" si="4"/>
        <v>119</v>
      </c>
      <c r="B132">
        <f t="shared" si="5"/>
        <v>0.778922089773346</v>
      </c>
      <c r="C132">
        <f t="shared" si="3"/>
        <v>92.6917286830281</v>
      </c>
    </row>
    <row r="133" spans="1:3">
      <c r="A133">
        <f t="shared" si="4"/>
        <v>120</v>
      </c>
      <c r="B133">
        <f t="shared" si="5"/>
        <v>0.205308818733158</v>
      </c>
      <c r="C133">
        <f t="shared" si="3"/>
        <v>24.637058247979</v>
      </c>
    </row>
    <row r="134" spans="1:3">
      <c r="A134">
        <f t="shared" si="4"/>
        <v>121</v>
      </c>
      <c r="B134">
        <f t="shared" si="5"/>
        <v>-0.368304452307044</v>
      </c>
      <c r="C134">
        <f t="shared" si="3"/>
        <v>-44.5648387291523</v>
      </c>
    </row>
    <row r="135" spans="1:3">
      <c r="A135">
        <f t="shared" si="4"/>
        <v>122</v>
      </c>
      <c r="B135">
        <f t="shared" si="5"/>
        <v>-0.941917723347231</v>
      </c>
      <c r="C135">
        <f t="shared" si="3"/>
        <v>-114.913962248362</v>
      </c>
    </row>
    <row r="136" spans="1:3">
      <c r="A136">
        <f t="shared" si="4"/>
        <v>123</v>
      </c>
      <c r="B136">
        <f t="shared" si="5"/>
        <v>-1.51553099438743</v>
      </c>
      <c r="C136">
        <f t="shared" si="3"/>
        <v>-186.410312309654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Quốc Thiện</cp:lastModifiedBy>
  <dcterms:created xsi:type="dcterms:W3CDTF">2025-11-01T11:27:00Z</dcterms:created>
  <dcterms:modified xsi:type="dcterms:W3CDTF">2025-11-05T08:49:44Z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C933D7C8B25D40639AE3DC56397FE8BA_12</vt:lpwstr>
  </property>
  <property fmtid="{D5CDD505-2E9C-101B-9397-08002B2CF9AE}" pid="3" name="KSOProductBuildVer">
    <vt:lpwstr>1033-12.2.0.23155</vt:lpwstr>
  </property>
</Properties>
</file>