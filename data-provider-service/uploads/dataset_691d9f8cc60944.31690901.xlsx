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1" sheetId="1" state="visible" r:id="rId1"/>
    <sheet xmlns:r="http://schemas.openxmlformats.org/officeDocument/2006/relationships" name="Bai2" sheetId="2" state="visible" r:id="rId2"/>
    <sheet xmlns:r="http://schemas.openxmlformats.org/officeDocument/2006/relationships" name="Bai3" sheetId="3" state="visible" r:id="rId3"/>
    <sheet xmlns:r="http://schemas.openxmlformats.org/officeDocument/2006/relationships" name="Bai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PA1: Nâng cấp (25tr)</t>
        </is>
      </c>
      <c r="C1" t="inlineStr">
        <is>
          <t>PA2: Tự quản (4tr mỗi năm)</t>
        </is>
      </c>
      <c r="E1" t="inlineStr">
        <is>
          <t>NPV PA1 (i=12%)</t>
        </is>
      </c>
      <c r="F1" t="inlineStr">
        <is>
          <t>NPV PA2 (i=12%)</t>
        </is>
      </c>
    </row>
    <row r="2">
      <c r="A2" t="n">
        <v>0</v>
      </c>
      <c r="B2" t="n">
        <v>-25</v>
      </c>
      <c r="C2" t="n">
        <v>0</v>
      </c>
      <c r="E2">
        <f>NPV(12%,B3:B7)+B2</f>
        <v/>
      </c>
      <c r="F2">
        <f>NPV(12%,C3:C7)+C2</f>
        <v/>
      </c>
    </row>
    <row r="3">
      <c r="A3" t="n">
        <v>1</v>
      </c>
      <c r="B3" t="n">
        <v>0</v>
      </c>
      <c r="C3" t="n">
        <v>-4</v>
      </c>
    </row>
    <row r="4">
      <c r="A4" t="n">
        <v>2</v>
      </c>
      <c r="B4" t="n">
        <v>0</v>
      </c>
      <c r="C4" t="n">
        <v>-4</v>
      </c>
    </row>
    <row r="5">
      <c r="A5" t="n">
        <v>3</v>
      </c>
      <c r="B5" t="n">
        <v>0</v>
      </c>
      <c r="C5" t="n">
        <v>-4</v>
      </c>
    </row>
    <row r="6">
      <c r="A6" t="n">
        <v>4</v>
      </c>
      <c r="B6" t="n">
        <v>0</v>
      </c>
      <c r="C6" t="n">
        <v>-4</v>
      </c>
    </row>
    <row r="7">
      <c r="A7" t="n">
        <v>5</v>
      </c>
      <c r="B7" t="n">
        <v>0</v>
      </c>
      <c r="C7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Chi phí A</t>
        </is>
      </c>
      <c r="C1" t="inlineStr">
        <is>
          <t>Chi phí B</t>
        </is>
      </c>
      <c r="E1" t="inlineStr">
        <is>
          <t>NPV A (i=15%)</t>
        </is>
      </c>
      <c r="F1" t="inlineStr">
        <is>
          <t>NPV B (i=15%)</t>
        </is>
      </c>
    </row>
    <row r="2">
      <c r="A2" t="n">
        <v>0</v>
      </c>
      <c r="B2" t="n">
        <v>-11</v>
      </c>
      <c r="C2" t="n">
        <v>-18</v>
      </c>
      <c r="E2">
        <f>NPV(15%,B3:B8)+B2</f>
        <v/>
      </c>
      <c r="F2">
        <f>NPV(15%,C3:C11)+C2</f>
        <v/>
      </c>
    </row>
    <row r="3">
      <c r="A3" t="n">
        <v>1</v>
      </c>
      <c r="B3" t="n">
        <v>-3.5</v>
      </c>
      <c r="C3" t="n">
        <v>-3.1</v>
      </c>
    </row>
    <row r="4">
      <c r="A4" t="n">
        <v>2</v>
      </c>
      <c r="B4" t="n">
        <v>-3.5</v>
      </c>
      <c r="C4" t="n">
        <v>-3.1</v>
      </c>
    </row>
    <row r="5">
      <c r="A5" t="n">
        <v>3</v>
      </c>
      <c r="B5" t="n">
        <v>-3.5</v>
      </c>
      <c r="C5" t="n">
        <v>-3.1</v>
      </c>
    </row>
    <row r="6">
      <c r="A6" t="n">
        <v>4</v>
      </c>
      <c r="B6" t="n">
        <v>-3.5</v>
      </c>
      <c r="C6" t="n">
        <v>-3.1</v>
      </c>
    </row>
    <row r="7">
      <c r="A7" t="n">
        <v>5</v>
      </c>
      <c r="B7" t="n">
        <v>-3.5</v>
      </c>
      <c r="C7" t="n">
        <v>-3.1</v>
      </c>
    </row>
    <row r="8">
      <c r="A8" t="n">
        <v>6</v>
      </c>
      <c r="B8" t="n">
        <v>-2.5</v>
      </c>
      <c r="C8" t="n">
        <v>-3.1</v>
      </c>
    </row>
    <row r="9">
      <c r="A9" t="n">
        <v>7</v>
      </c>
      <c r="B9" t="inlineStr"/>
      <c r="C9" t="n">
        <v>-3.1</v>
      </c>
    </row>
    <row r="10">
      <c r="A10" t="n">
        <v>8</v>
      </c>
      <c r="B10" t="inlineStr"/>
      <c r="C10" t="n">
        <v>-3.1</v>
      </c>
    </row>
    <row r="11">
      <c r="A11" t="n">
        <v>9</v>
      </c>
      <c r="B11" t="inlineStr"/>
      <c r="C11" t="n">
        <v>-1.1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Chi phí</t>
        </is>
      </c>
      <c r="D1" t="inlineStr">
        <is>
          <t>NPV (i=10%)</t>
        </is>
      </c>
    </row>
    <row r="2">
      <c r="A2" t="n">
        <v>0</v>
      </c>
      <c r="B2" t="n">
        <v>-23.65</v>
      </c>
      <c r="D2">
        <f>NPV(10%,B3:B7)+B2</f>
        <v/>
      </c>
    </row>
    <row r="3">
      <c r="A3" t="n">
        <v>1</v>
      </c>
      <c r="B3" t="n">
        <v>-0.7000000000000001</v>
      </c>
    </row>
    <row r="4">
      <c r="A4" t="n">
        <v>2</v>
      </c>
      <c r="B4" t="n">
        <v>-0.75</v>
      </c>
    </row>
    <row r="5">
      <c r="A5" t="n">
        <v>3</v>
      </c>
      <c r="B5" t="n">
        <v>-0.8</v>
      </c>
    </row>
    <row r="6">
      <c r="A6" t="n">
        <v>4</v>
      </c>
      <c r="B6" t="n">
        <v>-0.8500000000000001</v>
      </c>
    </row>
    <row r="7">
      <c r="A7" t="n">
        <v>5</v>
      </c>
      <c r="B7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Phương án</t>
        </is>
      </c>
      <c r="B1" t="inlineStr">
        <is>
          <t>Chi phí</t>
        </is>
      </c>
      <c r="C1" t="inlineStr">
        <is>
          <t>Quãng đường</t>
        </is>
      </c>
      <c r="D1" t="inlineStr">
        <is>
          <t>Chi phí/km</t>
        </is>
      </c>
      <c r="F1" t="inlineStr">
        <is>
          <t>Chi phí nhiên liệu/km</t>
        </is>
      </c>
    </row>
    <row r="2">
      <c r="A2" t="inlineStr">
        <is>
          <t>Mua vỏ mới</t>
        </is>
      </c>
      <c r="B2" t="n">
        <v>85000</v>
      </c>
      <c r="C2" t="n">
        <v>60000</v>
      </c>
      <c r="D2">
        <f>B2/C2</f>
        <v/>
      </c>
      <c r="F2">
        <f>420/10</f>
        <v/>
      </c>
    </row>
    <row r="3">
      <c r="A3" t="inlineStr">
        <is>
          <t>Đắp lại vỏ</t>
        </is>
      </c>
      <c r="B3" t="n">
        <v>25000</v>
      </c>
      <c r="C3" t="n">
        <v>20000</v>
      </c>
      <c r="D3">
        <f>B3/C3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2025-10-03T08:43:43Z</dcterms:created>
  <dcterms:modified xmlns:dcterms="http://purl.org/dc/terms/" xmlns:xsi="http://www.w3.org/2001/XMLSchema-instance" xsi:type="dcterms:W3CDTF">2025-10-03T08:43:43Z</dcterms:modified>
</cp:coreProperties>
</file>