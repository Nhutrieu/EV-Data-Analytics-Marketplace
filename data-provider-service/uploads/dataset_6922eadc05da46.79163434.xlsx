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ink/ink1.xml" ContentType="application/inkml+xml"/>
  <Override PartName="/xl/ink/ink2.xml" ContentType="application/inkml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38C454A-DECE-45E7-A0E6-A4AFB54EE8D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ashflow Comparison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E11" i="3"/>
  <c r="E14" i="3"/>
  <c r="E13" i="3"/>
  <c r="E10" i="3"/>
  <c r="C16" i="3"/>
  <c r="C14" i="3"/>
  <c r="B13" i="3"/>
  <c r="B14" i="3"/>
  <c r="B15" i="3"/>
  <c r="B16" i="3"/>
  <c r="B17" i="3"/>
  <c r="B12" i="3"/>
  <c r="B6" i="3"/>
  <c r="G58" i="1"/>
  <c r="G56" i="1"/>
  <c r="E12" i="2"/>
  <c r="E11" i="2"/>
  <c r="B12" i="2"/>
  <c r="J29" i="1"/>
  <c r="G54" i="1"/>
  <c r="H54" i="1"/>
  <c r="D51" i="1"/>
  <c r="C51" i="1"/>
  <c r="J28" i="1"/>
  <c r="K34" i="1"/>
  <c r="K32" i="1"/>
  <c r="K36" i="1" s="1"/>
</calcChain>
</file>

<file path=xl/sharedStrings.xml><?xml version="1.0" encoding="utf-8"?>
<sst xmlns="http://schemas.openxmlformats.org/spreadsheetml/2006/main" count="123" uniqueCount="90">
  <si>
    <t>Year</t>
  </si>
  <si>
    <t>Cashflow_1</t>
  </si>
  <si>
    <t>Cashflow_2</t>
  </si>
  <si>
    <t>TH1</t>
  </si>
  <si>
    <t>PV</t>
  </si>
  <si>
    <t>N</t>
  </si>
  <si>
    <t>TH2</t>
  </si>
  <si>
    <t>i</t>
  </si>
  <si>
    <t>F2</t>
  </si>
  <si>
    <t>F1</t>
  </si>
  <si>
    <t>Triệu đồng</t>
  </si>
  <si>
    <t>PV = 4(P/A,12%,5)</t>
  </si>
  <si>
    <t>Chi phí ban đầu</t>
  </si>
  <si>
    <t>Vận hành hàng năm</t>
  </si>
  <si>
    <t>Giá trị còn lại</t>
  </si>
  <si>
    <t>Tuổi thọ (năm)</t>
  </si>
  <si>
    <t>Thiết bị A</t>
  </si>
  <si>
    <t>Thiết bị B</t>
  </si>
  <si>
    <r>
      <t>a.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Xác định thiết bị nên chọn, theo phương pháp giá trị hiện tại NPV với i = 15% năm.</t>
    </r>
  </si>
  <si>
    <t>NPV của A</t>
  </si>
  <si>
    <t>NPV của B</t>
  </si>
  <si>
    <t xml:space="preserve"> b. Nếu thời kỳ phục vụ cần thiết của thiết bị là 5 năm và giá trị còn lại cũng như trên thì phương án nào sẽ được chọn?</t>
  </si>
  <si>
    <t>Khấu hao MN =</t>
  </si>
  <si>
    <t xml:space="preserve">(Chi phí ban đầu - Giá trị còn lại ban đầu) </t>
  </si>
  <si>
    <t>Tuổi thọ ban đầu</t>
  </si>
  <si>
    <t>Tính giá trị còn lại</t>
  </si>
  <si>
    <t>Tính khấu hao mỗi năm</t>
  </si>
  <si>
    <t>Giá trị còn lại (mới) = Chi phí ban đầu - (khấu hao * năm hiện tại)</t>
  </si>
  <si>
    <t>Nhận xét</t>
  </si>
  <si>
    <t>Nên chọn thiết bị B, vì tối ưu hóa giá trị đầu tư khi chỉ sử dụng trong 5 năm.</t>
  </si>
  <si>
    <t>So sánh hai phương án, thiết bị B có NPV cao hơn, tức là mang lại hiệu quả tài chính tốt hơn trong cùng thời gian sử dụng.</t>
  </si>
  <si>
    <t>Tuy nhiên, thiết bị A có NPV ít âm hơn, nghĩa là ít tốn kém hơn về giá trị hiện tại.</t>
  </si>
  <si>
    <r>
      <t xml:space="preserve">Vì cả hai thiết bị đều có NPV âm, tức là </t>
    </r>
    <r>
      <rPr>
        <b/>
        <sz val="12"/>
        <color theme="1"/>
        <rFont val="Times New Roman"/>
        <family val="1"/>
      </rPr>
      <t>đều là khoản đầu tư có chi phí</t>
    </r>
    <r>
      <rPr>
        <sz val="12"/>
        <color theme="1"/>
        <rFont val="Times New Roman"/>
        <family val="1"/>
      </rPr>
      <t xml:space="preserve">. </t>
    </r>
  </si>
  <si>
    <r>
      <t>Nên chọn Thiết bị A</t>
    </r>
    <r>
      <rPr>
        <sz val="12"/>
        <color theme="1"/>
        <rFont val="Times New Roman"/>
        <family val="1"/>
      </rPr>
      <t xml:space="preserve">, vì </t>
    </r>
    <r>
      <rPr>
        <b/>
        <sz val="12"/>
        <color theme="1"/>
        <rFont val="Times New Roman"/>
        <family val="1"/>
      </rPr>
      <t>chi phí hiện tại thấp hơn</t>
    </r>
    <r>
      <rPr>
        <sz val="12"/>
        <color theme="1"/>
        <rFont val="Times New Roman"/>
        <family val="1"/>
      </rPr>
      <t>, hiệu quả đầu tư tốt hơn</t>
    </r>
  </si>
  <si>
    <t>Giá mỗi thiết bị là 4,6tr, tuổi thọ 5 năm và SV (giá trị còn lại) là 300.000đ.</t>
  </si>
  <si>
    <t>Chi phí bảo trì sẽ là 650.000đ trong năm đầu, và tăng dần mỗi năm thêm 50,000đ.</t>
  </si>
  <si>
    <t>Dự án có nên mua 05 thiết bị hay không nếu i = 10% năm?</t>
  </si>
  <si>
    <t xml:space="preserve">i = </t>
  </si>
  <si>
    <t xml:space="preserve">Thiết bị </t>
  </si>
  <si>
    <t>nghìn đồng</t>
  </si>
  <si>
    <t>1 thiết  bị lưu trữ</t>
  </si>
  <si>
    <t>-</t>
  </si>
  <si>
    <t>NPV của 1 thiết bị</t>
  </si>
  <si>
    <t>NPV của 5 thiết bị</t>
  </si>
  <si>
    <t xml:space="preserve">Nhận xét </t>
  </si>
  <si>
    <t>Dù số tiền âm không quá lớn, nhưng trong nguyên tắc quản trị dự án:</t>
  </si>
  <si>
    <t>của nguồn vốn đầu tư.</t>
  </si>
  <si>
    <t>Vì NPV đều &lt; 0, cả với 1 thiết bị lẫn 5 thiết bị, điều này cho thấy:</t>
  </si>
  <si>
    <t xml:space="preserve">→ Dự án không tạo ra giá trị kinh tế, mà còn làm giảm giá trị hiện tại ròng </t>
  </si>
  <si>
    <t>→ Dự án có NPV âm là không nên thực hiện, trừ khi có yếu tố phi tài chính đặc biệt</t>
  </si>
  <si>
    <t>650 cho năm đầu tăng thêm 50/năm</t>
  </si>
  <si>
    <t>Câu 1:</t>
  </si>
  <si>
    <t>Câu 2:</t>
  </si>
  <si>
    <t>Câu 3: Dự án đang xem xét nâng cấp thêm 05 thiết bị lưu trữ.</t>
  </si>
  <si>
    <t>NPV = (12%,5,{số tiền chi trả từng năm 1-&gt;5}) - 4600</t>
  </si>
  <si>
    <t>NPV = (15%,6,{số tiền chi trả từng năm 1-&gt;6}) - 11</t>
  </si>
  <si>
    <t>NPV = (15%,9,{số tiền chi trả từng năm 1-&gt;9}) - 18</t>
  </si>
  <si>
    <t>NPV = (15%,5,{số tiền chi trả từng năm 1-&gt;5}) - 11</t>
  </si>
  <si>
    <t>NPV = (15%,5,{số tiền chi trả từng năm 1-&gt;5}) - 18</t>
  </si>
  <si>
    <r>
      <t>Câu 4: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(*) Một chủ xe hơi xem xét 2 phương án:</t>
    </r>
  </si>
  <si>
    <r>
      <t xml:space="preserve">                           </t>
    </r>
    <r>
      <rPr>
        <sz val="11"/>
        <color theme="1"/>
        <rFont val="Calibri"/>
        <family val="2"/>
        <scheme val="minor"/>
      </rPr>
      <t>I.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Mua 4 vỏ xe mới;</t>
    </r>
  </si>
  <si>
    <r>
      <t xml:space="preserve">                          </t>
    </r>
    <r>
      <rPr>
        <sz val="11"/>
        <color theme="1"/>
        <rFont val="Calibri"/>
        <family val="2"/>
        <scheme val="minor"/>
      </rPr>
      <t>II.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Đắp lại 4 vỏ xe cũ.</t>
    </r>
  </si>
  <si>
    <t>Vỏ xe mới</t>
  </si>
  <si>
    <t>Vỏ xe cũ</t>
  </si>
  <si>
    <t>nghìn</t>
  </si>
  <si>
    <t>đồng</t>
  </si>
  <si>
    <t>đơn vị</t>
  </si>
  <si>
    <t>i =</t>
  </si>
  <si>
    <t>vỏ xe mới</t>
  </si>
  <si>
    <t>Với vỏ xe mới chi phí tăng thêm 10%</t>
  </si>
  <si>
    <t>(0.42+(0.42*10%))</t>
  </si>
  <si>
    <t>vỏ xe cũ</t>
  </si>
  <si>
    <t>chi phí hằng năm</t>
  </si>
  <si>
    <t>Tuổi thọ (10km/năm)</t>
  </si>
  <si>
    <t>NPV (vỏ mới)</t>
  </si>
  <si>
    <t>NPV (vỏ cũ)</t>
  </si>
  <si>
    <t>NPV = (12%,6,{số tiền chi trả từng năm 1-&gt;6}) - 25</t>
  </si>
  <si>
    <t>NPV = (12%,6,{số tiền chi trả từng năm 1-&gt;6}) - 85</t>
  </si>
  <si>
    <t xml:space="preserve">0.42/lit được 10km </t>
  </si>
  <si>
    <t>vậy đổ phải 42 lít chạy được 10000km</t>
  </si>
  <si>
    <t>Lưu ý:</t>
  </si>
  <si>
    <t>với 4 lớp vỏ cũ</t>
  </si>
  <si>
    <t>với 4 lớp vỏ mới</t>
  </si>
  <si>
    <t xml:space="preserve">Chọn phương án đắp lại lốp cũ, vì có chi phí hiện tại thấp hơn, </t>
  </si>
  <si>
    <t>giúp tiết kiệm hơn về mặt tài chính trong điều kiện sử dụng.</t>
  </si>
  <si>
    <t>Thuê</t>
  </si>
  <si>
    <t xml:space="preserve">Tự xử lý </t>
  </si>
  <si>
    <t xml:space="preserve">Nên chọn phương án Tự xử lý, vì có giá trị hiện tại </t>
  </si>
  <si>
    <t xml:space="preserve">thấp hơn, tiết kiệm chi phí trong dài hạn, theo </t>
  </si>
  <si>
    <t>nguyên tắc phân tích tài chính trong quản trị dự 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</si>
</sst>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name val="Calibri"/>
      <family val="2"/>
      <scheme val="minor"/>
    </font>
    <font>
      <sz val="11"/>
      <color theme="1"/>
      <name val="Times New Roman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9" fontId="0" fillId="0" borderId="0" xfId="0" applyNumberFormat="1"/>
    <xf numFmtId="0" fontId="0" fillId="2" borderId="10" xfId="0" applyFill="1" applyBorder="1"/>
    <xf numFmtId="0" fontId="0" fillId="2" borderId="11" xfId="0" applyFill="1" applyBorder="1"/>
    <xf numFmtId="164" fontId="0" fillId="0" borderId="9" xfId="0" applyNumberFormat="1" applyBorder="1"/>
    <xf numFmtId="164" fontId="0" fillId="0" borderId="12" xfId="1" applyNumberFormat="1" applyFont="1" applyBorder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0" fontId="2" fillId="0" borderId="0" xfId="0" applyFont="1"/>
    <xf numFmtId="2" fontId="0" fillId="0" borderId="0" xfId="1" applyNumberFormat="1" applyFont="1" applyBorder="1"/>
    <xf numFmtId="0" fontId="6" fillId="0" borderId="13" xfId="0" applyFont="1" applyBorder="1"/>
    <xf numFmtId="0" fontId="8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8" fillId="0" borderId="3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0" xfId="0" applyFont="1"/>
    <xf numFmtId="0" fontId="6" fillId="0" borderId="14" xfId="0" applyFont="1" applyBorder="1"/>
    <xf numFmtId="0" fontId="6" fillId="0" borderId="15" xfId="0" applyFont="1" applyBorder="1" applyAlignment="1">
      <alignment horizontal="center"/>
    </xf>
    <xf numFmtId="0" fontId="6" fillId="0" borderId="1" xfId="0" applyFont="1" applyBorder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3" xfId="0" applyFont="1" applyBorder="1"/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9" fontId="0" fillId="0" borderId="0" xfId="0" applyNumberFormat="1" applyAlignment="1">
      <alignment horizontal="center"/>
    </xf>
    <xf numFmtId="1" fontId="0" fillId="0" borderId="0" xfId="0" applyNumberFormat="1"/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/>
    <xf numFmtId="0" fontId="6" fillId="0" borderId="0" xfId="0" applyFont="1"/>
    <xf numFmtId="0" fontId="10" fillId="0" borderId="0" xfId="0" applyFont="1"/>
    <xf numFmtId="1" fontId="10" fillId="0" borderId="0" xfId="0" applyNumberFormat="1" applyFont="1"/>
    <xf numFmtId="0" fontId="6" fillId="0" borderId="15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0" fillId="0" borderId="13" xfId="0" applyBorder="1" applyAlignment="1">
      <alignment vertical="center"/>
    </xf>
    <xf numFmtId="0" fontId="0" fillId="0" borderId="14" xfId="0" applyBorder="1"/>
    <xf numFmtId="0" fontId="0" fillId="0" borderId="15" xfId="0" applyBorder="1"/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0" xfId="0" applyAlignment="1">
      <alignment horizontal="left" vertical="center" indent="3"/>
    </xf>
    <xf numFmtId="0" fontId="5" fillId="0" borderId="0" xfId="0" applyFont="1" applyAlignment="1">
      <alignment vertical="center"/>
    </xf>
    <xf numFmtId="0" fontId="0" fillId="0" borderId="13" xfId="0" applyBorder="1"/>
    <xf numFmtId="0" fontId="0" fillId="0" borderId="3" xfId="0" applyBorder="1"/>
    <xf numFmtId="165" fontId="0" fillId="0" borderId="0" xfId="0" applyNumberFormat="1"/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1" fillId="3" borderId="16" xfId="0" applyFont="1" applyFill="1" applyBorder="1" applyAlignment="1">
      <alignment horizontal="center"/>
    </xf>
    <xf numFmtId="0" fontId="6" fillId="3" borderId="16" xfId="0" applyFont="1" applyFill="1" applyBorder="1"/>
    <xf numFmtId="0" fontId="11" fillId="3" borderId="16" xfId="0" applyFont="1" applyFill="1" applyBorder="1" applyAlignment="1">
      <alignment horizontal="center" vertical="center"/>
    </xf>
    <xf numFmtId="0" fontId="0" fillId="0" borderId="1" xfId="0" applyBorder="1"/>
    <xf numFmtId="0" fontId="11" fillId="3" borderId="17" xfId="0" applyFont="1" applyFill="1" applyBorder="1" applyAlignment="1">
      <alignment horizontal="center" vertical="center"/>
    </xf>
    <xf numFmtId="0" fontId="11" fillId="3" borderId="16" xfId="0" applyFont="1" applyFill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Cashflow</a:t>
            </a:r>
            <a:r>
              <a:rPr lang="vi-VN"/>
              <a:t> trường hợp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233814523184602E-2"/>
          <c:y val="0.20875000000000005"/>
          <c:w val="0.89521062992125988"/>
          <c:h val="0.63442074948964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'Cashflow Comparison'!$B$3</c:f>
              <c:strCache>
                <c:ptCount val="1"/>
                <c:pt idx="0">
                  <c:v>Cashflow_1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'Cashflow Comparison'!$B$4:$B$9</c:f>
              <c:numCache>
                <c:formatCode>General</c:formatCode>
                <c:ptCount val="6"/>
                <c:pt idx="0">
                  <c:v>-25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B0-4BFD-A61B-2B5BCF655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1707824"/>
        <c:axId val="17817087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'Cashflow Comparison'!$A$3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'Cashflow Comparison'!$A$4:$A$9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7B0-4BFD-A61B-2B5BCF65539B}"/>
                  </c:ext>
                </c:extLst>
              </c15:ser>
            </c15:filteredBarSeries>
          </c:ext>
        </c:extLst>
      </c:barChart>
      <c:catAx>
        <c:axId val="1781707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708784"/>
        <c:crosses val="autoZero"/>
        <c:auto val="1"/>
        <c:lblAlgn val="ctr"/>
        <c:lblOffset val="100"/>
        <c:noMultiLvlLbl val="0"/>
      </c:catAx>
      <c:valAx>
        <c:axId val="178170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70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Cashflow trường hợp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'Cashflow Comparison'!$C$3</c:f>
              <c:strCache>
                <c:ptCount val="1"/>
                <c:pt idx="0">
                  <c:v>Cashflow_2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'Cashflow Comparison'!$C$4:$C$9</c:f>
              <c:numCache>
                <c:formatCode>General</c:formatCode>
                <c:ptCount val="6"/>
                <c:pt idx="0">
                  <c:v>0</c:v>
                </c:pt>
                <c:pt idx="1">
                  <c:v>-4</c:v>
                </c:pt>
                <c:pt idx="2">
                  <c:v>-4</c:v>
                </c:pt>
                <c:pt idx="3">
                  <c:v>-4</c:v>
                </c:pt>
                <c:pt idx="4">
                  <c:v>-4</c:v>
                </c:pt>
                <c:pt idx="5">
                  <c:v>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8B-490F-9589-18D8F6742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2879840"/>
        <c:axId val="21228803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'Cashflow Comparison'!$A$3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'Cashflow Comparison'!$A$4:$A$9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68B-490F-9589-18D8F67420A8}"/>
                  </c:ext>
                </c:extLst>
              </c15:ser>
            </c15:filteredBarSeries>
          </c:ext>
        </c:extLst>
      </c:barChart>
      <c:catAx>
        <c:axId val="2122879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880320"/>
        <c:crosses val="autoZero"/>
        <c:auto val="1"/>
        <c:lblAlgn val="ctr"/>
        <c:lblOffset val="100"/>
        <c:noMultiLvlLbl val="0"/>
      </c:catAx>
      <c:valAx>
        <c:axId val="212288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87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Cashflow T</a:t>
            </a:r>
            <a:r>
              <a:rPr lang="en-US"/>
              <a:t>hiết bị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'Cashflow Comparison'!$J$22</c:f>
              <c:strCache>
                <c:ptCount val="1"/>
                <c:pt idx="0">
                  <c:v>Thiết bị 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'Cashflow Comparison'!$J$23:$J$32</c:f>
              <c:numCache>
                <c:formatCode>General</c:formatCode>
                <c:ptCount val="10"/>
                <c:pt idx="0">
                  <c:v>-11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45-471A-AB5B-233397347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290127"/>
        <c:axId val="196428724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'Cashflow Comparison'!$I$22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'Cashflow Comparison'!$I$23:$I$32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245-471A-AB5B-2333973476CD}"/>
                  </c:ext>
                </c:extLst>
              </c15:ser>
            </c15:filteredBarSeries>
          </c:ext>
        </c:extLst>
      </c:barChart>
      <c:catAx>
        <c:axId val="1964290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287247"/>
        <c:crosses val="autoZero"/>
        <c:auto val="1"/>
        <c:lblAlgn val="ctr"/>
        <c:lblOffset val="100"/>
        <c:noMultiLvlLbl val="0"/>
      </c:catAx>
      <c:valAx>
        <c:axId val="196428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29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Cashflow </a:t>
            </a:r>
            <a:r>
              <a:rPr lang="en-US"/>
              <a:t>Thiết bị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'Cashflow Comparison'!$K$22</c:f>
              <c:strCache>
                <c:ptCount val="1"/>
                <c:pt idx="0">
                  <c:v>Thiết bị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'Cashflow Comparison'!$K$23:$K$32</c:f>
              <c:numCache>
                <c:formatCode>General</c:formatCode>
                <c:ptCount val="10"/>
                <c:pt idx="0">
                  <c:v>-18</c:v>
                </c:pt>
                <c:pt idx="1">
                  <c:v>-3.1</c:v>
                </c:pt>
                <c:pt idx="2">
                  <c:v>-3.1</c:v>
                </c:pt>
                <c:pt idx="3">
                  <c:v>-3.1</c:v>
                </c:pt>
                <c:pt idx="4">
                  <c:v>-3.1</c:v>
                </c:pt>
                <c:pt idx="5">
                  <c:v>-3.1</c:v>
                </c:pt>
                <c:pt idx="6">
                  <c:v>-3.1</c:v>
                </c:pt>
                <c:pt idx="7">
                  <c:v>-3.1</c:v>
                </c:pt>
                <c:pt idx="8">
                  <c:v>-3.1</c:v>
                </c:pt>
                <c:pt idx="9">
                  <c:v>-1.1000000000000001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7A-4E8A-A2A1-56B40FD48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310287"/>
        <c:axId val="196429924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'Cashflow Comparison'!$I$22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'Cashflow Comparison'!$I$23:$I$32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07A-4E8A-A2A1-56B40FD48A72}"/>
                  </c:ext>
                </c:extLst>
              </c15:ser>
            </c15:filteredBarSeries>
          </c:ext>
        </c:extLst>
      </c:barChart>
      <c:catAx>
        <c:axId val="19643102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299247"/>
        <c:crosses val="autoZero"/>
        <c:auto val="1"/>
        <c:lblAlgn val="ctr"/>
        <c:lblOffset val="100"/>
        <c:noMultiLvlLbl val="0"/>
      </c:catAx>
      <c:valAx>
        <c:axId val="196429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31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Cashflow của T</a:t>
            </a:r>
            <a:r>
              <a:rPr lang="en-US"/>
              <a:t>hiết bị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'Cashflow Comparison'!$G$48</c:f>
              <c:strCache>
                <c:ptCount val="1"/>
                <c:pt idx="0">
                  <c:v>Thiết bị 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'Cashflow Comparison'!$G$49:$G$54</c:f>
              <c:numCache>
                <c:formatCode>General</c:formatCode>
                <c:ptCount val="6"/>
                <c:pt idx="0">
                  <c:v>-11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-0.83000000000000007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28-428A-BDD2-C6F4A73A4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302607"/>
        <c:axId val="196430644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'Cashflow Comparison'!$F$48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'Cashflow Comparison'!$F$49:$F$54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228-428A-BDD2-C6F4A73A49FE}"/>
                  </c:ext>
                </c:extLst>
              </c15:ser>
            </c15:filteredBarSeries>
          </c:ext>
        </c:extLst>
      </c:barChart>
      <c:catAx>
        <c:axId val="19643026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306447"/>
        <c:crosses val="autoZero"/>
        <c:auto val="1"/>
        <c:lblAlgn val="ctr"/>
        <c:lblOffset val="100"/>
        <c:noMultiLvlLbl val="0"/>
      </c:catAx>
      <c:valAx>
        <c:axId val="196430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30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Cashflow của </a:t>
            </a:r>
            <a:r>
              <a:rPr lang="en-US"/>
              <a:t>Thiết bị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'Cashflow Comparison'!$H$48</c:f>
              <c:strCache>
                <c:ptCount val="1"/>
                <c:pt idx="0">
                  <c:v>Thiết bị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'Cashflow Comparison'!$H$49:$H$54</c:f>
              <c:numCache>
                <c:formatCode>General</c:formatCode>
                <c:ptCount val="6"/>
                <c:pt idx="0">
                  <c:v>-18</c:v>
                </c:pt>
                <c:pt idx="1">
                  <c:v>-3.1</c:v>
                </c:pt>
                <c:pt idx="2">
                  <c:v>-3.1</c:v>
                </c:pt>
                <c:pt idx="3">
                  <c:v>-3.1</c:v>
                </c:pt>
                <c:pt idx="4">
                  <c:v>-3.1</c:v>
                </c:pt>
                <c:pt idx="5">
                  <c:v>6.01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E7-4F21-A552-21D83D2F1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9045647"/>
        <c:axId val="180902932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'Cashflow Comparison'!$F$48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'Cashflow Comparison'!$F$49:$F$54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0E7-4F21-A552-21D83D2F1878}"/>
                  </c:ext>
                </c:extLst>
              </c15:ser>
            </c15:filteredBarSeries>
          </c:ext>
        </c:extLst>
      </c:barChart>
      <c:catAx>
        <c:axId val="18090456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29327"/>
        <c:crosses val="autoZero"/>
        <c:auto val="1"/>
        <c:lblAlgn val="ctr"/>
        <c:lblOffset val="100"/>
        <c:noMultiLvlLbl val="0"/>
      </c:catAx>
      <c:valAx>
        <c:axId val="180902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4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Cashflow 1 của thiết  bị lưu trữ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Sheet1!$B$6</c:f>
              <c:strCache>
                <c:ptCount val="1"/>
                <c:pt idx="0">
                  <c:v>1 thiết  bị lưu trữ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Sheet1!$B$7:$B$12</c:f>
              <c:numCache>
                <c:formatCode>General</c:formatCode>
                <c:ptCount val="6"/>
                <c:pt idx="0">
                  <c:v>-4600</c:v>
                </c:pt>
                <c:pt idx="1">
                  <c:v>-650</c:v>
                </c:pt>
                <c:pt idx="2">
                  <c:v>-700</c:v>
                </c:pt>
                <c:pt idx="3">
                  <c:v>-750</c:v>
                </c:pt>
                <c:pt idx="4">
                  <c:v>-800</c:v>
                </c:pt>
                <c:pt idx="5">
                  <c:v>-550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89-4DB2-8581-E9D7007DD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9439520"/>
        <c:axId val="20194404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Sheet1!$A$7:$A$12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889-4DB2-8581-E9D7007DDD08}"/>
                  </c:ext>
                </c:extLst>
              </c15:ser>
            </c15:filteredBarSeries>
          </c:ext>
        </c:extLst>
      </c:barChart>
      <c:catAx>
        <c:axId val="2019439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440480"/>
        <c:crosses val="autoZero"/>
        <c:auto val="1"/>
        <c:lblAlgn val="ctr"/>
        <c:lblOffset val="100"/>
        <c:noMultiLvlLbl val="0"/>
      </c:catAx>
      <c:valAx>
        <c:axId val="201944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43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cashflow của </a:t>
            </a:r>
            <a:r>
              <a:rPr lang="en-US"/>
              <a:t>vỏ xe mới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Sheet2!$B$10</c:f>
              <c:strCache>
                <c:ptCount val="1"/>
                <c:pt idx="0">
                  <c:v>vỏ xe mới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Sheet2!$B$11:$B$17</c:f>
              <c:numCache>
                <c:formatCode>General</c:formatCode>
                <c:ptCount val="7"/>
                <c:pt idx="0">
                  <c:v>-85</c:v>
                </c:pt>
                <c:pt idx="1">
                  <c:v>-46.2</c:v>
                </c:pt>
                <c:pt idx="2">
                  <c:v>-46.2</c:v>
                </c:pt>
                <c:pt idx="3">
                  <c:v>-46.2</c:v>
                </c:pt>
                <c:pt idx="4">
                  <c:v>-46.2</c:v>
                </c:pt>
                <c:pt idx="5">
                  <c:v>-46.2</c:v>
                </c:pt>
                <c:pt idx="6">
                  <c:v>-46.2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40-47B3-8106-0F8EC2DAE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1911631"/>
        <c:axId val="56191211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Sheet2!$A$10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Sheet2!$A$11:$A$17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240-47B3-8106-0F8EC2DAEE04}"/>
                  </c:ext>
                </c:extLst>
              </c15:ser>
            </c15:filteredBarSeries>
          </c:ext>
        </c:extLst>
      </c:barChart>
      <c:catAx>
        <c:axId val="5619116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912111"/>
        <c:crosses val="autoZero"/>
        <c:auto val="1"/>
        <c:lblAlgn val="ctr"/>
        <c:lblOffset val="100"/>
        <c:noMultiLvlLbl val="0"/>
      </c:catAx>
      <c:valAx>
        <c:axId val="56191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91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cashflow của </a:t>
            </a:r>
            <a:r>
              <a:rPr lang="en-US"/>
              <a:t>vỏ xe cũ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Sheet2!$C$10</c:f>
              <c:strCache>
                <c:ptCount val="1"/>
                <c:pt idx="0">
                  <c:v>vỏ xe cũ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Sheet2!$C$11:$C$17</c:f>
              <c:numCache>
                <c:formatCode>General</c:formatCode>
                <c:ptCount val="7"/>
                <c:pt idx="0">
                  <c:v>-25</c:v>
                </c:pt>
                <c:pt idx="1">
                  <c:v>-42</c:v>
                </c:pt>
                <c:pt idx="2">
                  <c:v>-42</c:v>
                </c:pt>
                <c:pt idx="3">
                  <c:v>-67</c:v>
                </c:pt>
                <c:pt idx="4">
                  <c:v>-42</c:v>
                </c:pt>
                <c:pt idx="5">
                  <c:v>-67</c:v>
                </c:pt>
                <c:pt idx="6">
                  <c:v>-42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D9-4AF1-9714-2D091426A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1890511"/>
        <c:axId val="56189963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Sheet2!$A$10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Sheet2!$A$11:$A$17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AD9-4AF1-9714-2D091426A33E}"/>
                  </c:ext>
                </c:extLst>
              </c15:ser>
            </c15:filteredBarSeries>
          </c:ext>
        </c:extLst>
      </c:barChart>
      <c:catAx>
        <c:axId val="561890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899631"/>
        <c:crosses val="autoZero"/>
        <c:auto val="1"/>
        <c:lblAlgn val="ctr"/>
        <c:lblOffset val="100"/>
        <c:noMultiLvlLbl val="0"/>
      </c:catAx>
      <c:valAx>
        <c:axId val="56189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89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ustomXml" Target="../ink/ink1.xml"/><Relationship Id="rId7" Type="http://schemas.openxmlformats.org/officeDocument/2006/relationships/chart" Target="../charts/chart4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ustomXml" Target="../ink/ink2.xml"/><Relationship Id="rId4" Type="http://schemas.openxmlformats.org/officeDocument/2006/relationships/image" Target="../media/image1.png"/><Relationship Id="rId9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68580</xdr:rowOff>
    </xdr:from>
    <xdr:to>
      <xdr:col>6</xdr:col>
      <xdr:colOff>144780</xdr:colOff>
      <xdr:row>19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74143B-4742-2BF1-EADB-955349BF2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152400</xdr:colOff>
      <xdr:row>9</xdr:row>
      <xdr:rowOff>160020</xdr:rowOff>
    </xdr:from>
    <xdr:to>
      <xdr:col>13</xdr:col>
      <xdr:colOff>312420</xdr:colOff>
      <xdr:row>20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998DF8-9EFB-44F5-289F-5FAB56767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449460</xdr:colOff>
      <xdr:row>12</xdr:row>
      <xdr:rowOff>15240</xdr:rowOff>
    </xdr:from>
    <xdr:to>
      <xdr:col>14</xdr:col>
      <xdr:colOff>101940</xdr:colOff>
      <xdr:row>17</xdr:row>
      <xdr:rowOff>111720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543F55DA-61EF-FD8A-C47D-C5F9B4D90B0C}"/>
                </a:ext>
              </a:extLst>
            </xdr14:cNvPr>
            <xdr14:cNvContentPartPr/>
          </xdr14:nvContentPartPr>
          <xdr14:nvPr macro=""/>
          <xdr14:xfrm>
            <a:off x="8374260" y="2209800"/>
            <a:ext cx="262080" cy="10108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543F55DA-61EF-FD8A-C47D-C5F9B4D90B0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356620" y="2191800"/>
              <a:ext cx="297720" cy="104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320040</xdr:colOff>
      <xdr:row>12</xdr:row>
      <xdr:rowOff>53340</xdr:rowOff>
    </xdr:from>
    <xdr:to>
      <xdr:col>6</xdr:col>
      <xdr:colOff>582120</xdr:colOff>
      <xdr:row>17</xdr:row>
      <xdr:rowOff>149820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4F801B72-778A-4B13-9E29-4E7720C0907C}"/>
                </a:ext>
              </a:extLst>
            </xdr14:cNvPr>
            <xdr14:cNvContentPartPr/>
          </xdr14:nvContentPartPr>
          <xdr14:nvPr macro=""/>
          <xdr14:xfrm>
            <a:off x="3977640" y="2247900"/>
            <a:ext cx="262080" cy="101088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4F801B72-778A-4B13-9E29-4E7720C0907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960000" y="2229900"/>
              <a:ext cx="297720" cy="10465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228600</xdr:colOff>
      <xdr:row>32</xdr:row>
      <xdr:rowOff>72390</xdr:rowOff>
    </xdr:from>
    <xdr:to>
      <xdr:col>4</xdr:col>
      <xdr:colOff>68580</xdr:colOff>
      <xdr:row>44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464FA3-38EF-049F-C054-721CB7F9C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182880</xdr:colOff>
      <xdr:row>32</xdr:row>
      <xdr:rowOff>76200</xdr:rowOff>
    </xdr:from>
    <xdr:to>
      <xdr:col>8</xdr:col>
      <xdr:colOff>518160</xdr:colOff>
      <xdr:row>44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852256-CB75-79AD-9F25-893782012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342900</xdr:colOff>
      <xdr:row>52</xdr:row>
      <xdr:rowOff>148590</xdr:rowOff>
    </xdr:from>
    <xdr:to>
      <xdr:col>4</xdr:col>
      <xdr:colOff>312420</xdr:colOff>
      <xdr:row>61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184495-467E-AF22-7656-C38B1D645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350520</xdr:colOff>
      <xdr:row>61</xdr:row>
      <xdr:rowOff>110490</xdr:rowOff>
    </xdr:from>
    <xdr:to>
      <xdr:col>4</xdr:col>
      <xdr:colOff>335280</xdr:colOff>
      <xdr:row>69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1015AF-BCB5-7333-4021-F154321FDB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68580</xdr:rowOff>
    </xdr:from>
    <xdr:to>
      <xdr:col>12</xdr:col>
      <xdr:colOff>563880</xdr:colOff>
      <xdr:row>15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9E0BE9-7EDB-9AD6-36CA-A1919EC9B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144780</xdr:colOff>
      <xdr:row>0</xdr:row>
      <xdr:rowOff>0</xdr:rowOff>
    </xdr:from>
    <xdr:to>
      <xdr:col>13</xdr:col>
      <xdr:colOff>541020</xdr:colOff>
      <xdr:row>10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4DC6F7-7E01-5C5D-275F-83EB461600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144780</xdr:colOff>
      <xdr:row>10</xdr:row>
      <xdr:rowOff>102870</xdr:rowOff>
    </xdr:from>
    <xdr:to>
      <xdr:col>13</xdr:col>
      <xdr:colOff>541020</xdr:colOff>
      <xdr:row>18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6B6356B-D530-D2DA-83BF-9D3D9F3B6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2T11:59:57.13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340 0 24575,'0'1102'0,"-2"-1082"0,0 0 0,-6 28 0,4-26 0,-3 37 0,5 501 0,5-273 0,-3-34-1365,0-234-5461</inkml:trace>
  <inkml:trace contextRef="#ctx0" brushRef="#br0" timeOffset="1247.22">1 1968 24575,'0'34'0,"2"0"0,8 46 0,-8-64 0,1 0 0,1 0 0,0-1 0,1 1 0,1-1 0,0 0 0,1 0 0,0-1 0,17 24 0,-17-28 0,0 1 0,0 0 0,-1 0 0,-1 0 0,7 21 0,-8-19 0,1-1 0,0 0 0,1 0 0,14 22 0,32 47 0,-30-45 0,-19-28 0,0-1 0,0 1 0,0 0 0,-1 0 0,0-1 0,-1 1 0,1 1 0,-2-1 0,1 12 0,-1-11 0,0 0 0,1 1 0,1-1 0,-1 0 0,1 0 0,1 0 0,4 12 0,-5-16 0,1 1 0,0-1 0,0 1 0,0-1 0,1 1 0,7 7 0,-11-12 0,1 0 0,0-1 0,0 1 0,0 0 0,-1-1 0,1 1 0,0-1 0,0 1 0,0-1 0,0 0 0,0 1 0,0-1 0,0 0 0,0 0 0,0 0 0,0 1 0,0-1 0,0 0 0,0 0 0,0-1 0,0 1 0,0 0 0,0 0 0,0 0 0,0-1 0,0 1 0,0 0 0,0-1 0,-1 1 0,1-1 0,0 1 0,0-1 0,0 1 0,0-1 0,-1 0 0,1 1 0,0-1 0,-1 0 0,1 0 0,0 0 0,-1 1 0,1-1 0,-1 0 0,1-2 0,5-7 0,0 0 0,-1 0 0,6-19 0,6-11 0,-7 20 0,18-29 0,-6 14 0,-18 26 0,1 1 0,0 0 0,10-11 0,-10 11 0,1 1 0,-1-1 0,-1 0 0,1 0 0,3-10 0,-5 9 0,2 0 0,-1 0 0,1 0 0,8-9 0,-6 7 0,0 1 0,-1-1 0,0 0 0,-1 0 0,-1-1 0,6-16 0,7-20 0,-4 1 0,-12 41 0,0 0 0,0 0 0,1 0 0,0 0 0,0 0 0,0 1 0,0-1 0,1 1 0,0 0 0,0-1 0,7-7 0,-4 6 0,-1 1 0,0-1 0,-1 0 0,1-1 0,-1 1 0,-1-1 0,4-11 0,12-24 0,5 4-1365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2T12:00:05.077"/>
    </inkml:context>
    <inkml:brush xml:id="br0">
      <inkml:brushProperty name="width" value="0.1" units="cm"/>
      <inkml:brushProperty name="height" value="0.1" units="cm"/>
    </inkml:brush>
  </inkml:definitions>
  <inkml:trace contextRef="#ctx0" brushRef="#br0">340 0 24575,'0'1102'0,"-2"-1082"0,0 0 0,-6 28 0,4-26 0,-3 37 0,5 501 0,5-273 0,-3-34-1365,0-234-5461</inkml:trace>
  <inkml:trace contextRef="#ctx0" brushRef="#br0" timeOffset="1">1 1968 24575,'0'34'0,"2"0"0,8 46 0,-8-64 0,1 0 0,1 0 0,0-1 0,1 1 0,1-1 0,0 0 0,1 0 0,0-1 0,17 24 0,-17-28 0,0 1 0,0 0 0,-1 0 0,-1 0 0,7 21 0,-8-19 0,1-1 0,0 0 0,1 0 0,14 22 0,32 47 0,-30-45 0,-19-28 0,0-1 0,0 1 0,0 0 0,-1 0 0,0-1 0,-1 1 0,1 1 0,-2-1 0,1 12 0,-1-11 0,0 0 0,1 1 0,1-1 0,-1 0 0,1 0 0,1 0 0,4 12 0,-5-16 0,1 1 0,0-1 0,0 1 0,0-1 0,1 1 0,7 7 0,-11-12 0,1 0 0,0-1 0,0 1 0,0 0 0,-1-1 0,1 1 0,0-1 0,0 1 0,0-1 0,0 0 0,0 1 0,0-1 0,0 0 0,0 0 0,0 0 0,0 1 0,0-1 0,0 0 0,0 0 0,0-1 0,0 1 0,0 0 0,0 0 0,0 0 0,0-1 0,0 1 0,0 0 0,0-1 0,-1 1 0,1-1 0,0 1 0,0-1 0,0 1 0,0-1 0,-1 0 0,1 1 0,0-1 0,-1 0 0,1 0 0,0 0 0,-1 1 0,1-1 0,-1 0 0,1-2 0,5-7 0,0 0 0,-1 0 0,6-19 0,6-11 0,-7 20 0,18-29 0,-6 14 0,-18 26 0,1 1 0,0 0 0,10-11 0,-10 11 0,1 1 0,-1-1 0,-1 0 0,1 0 0,3-10 0,-5 9 0,2 0 0,-1 0 0,1 0 0,8-9 0,-6 7 0,0 1 0,-1-1 0,0 0 0,-1 0 0,-1-1 0,6-16 0,7-20 0,-4 1 0,-12 41 0,0 0 0,0 0 0,1 0 0,0 0 0,0 0 0,0 1 0,0-1 0,1 1 0,0 0 0,0-1 0,7-7 0,-4 6 0,-1 1 0,0-1 0,-1 0 0,1-1 0,-1 1 0,-1-1 0,4-11 0,12-24 0,5 4-1365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2"/>
  <sheetViews>
    <sheetView topLeftCell="A18" workbookViewId="0">
      <selection activeCell="K45" sqref="K45"/>
    </sheetView>
  </sheetViews>
  <sheetFormatPr defaultRowHeight="14.4" x14ac:dyDescent="0.3"/>
  <cols>
    <col min="1" max="1" width="6.44140625" customWidth="1"/>
    <col min="2" max="2" width="17" customWidth="1"/>
    <col min="3" max="3" width="10.6640625" customWidth="1"/>
    <col min="6" max="7" width="9.88671875" customWidth="1"/>
    <col min="8" max="8" width="14.5546875" customWidth="1"/>
    <col min="9" max="9" width="10.44140625" customWidth="1"/>
    <col min="10" max="10" width="9.6640625" customWidth="1"/>
    <col min="13" max="13" width="10.5546875" customWidth="1"/>
  </cols>
  <sheetData>
    <row r="1" spans="1:30" x14ac:dyDescent="0.3">
      <c r="A1" t="s">
        <v>51</v>
      </c>
    </row>
    <row r="2" spans="1:30" x14ac:dyDescent="0.3">
      <c r="B2" s="12" t="s">
        <v>85</v>
      </c>
      <c r="C2" s="12" t="s">
        <v>86</v>
      </c>
      <c r="E2" t="s">
        <v>3</v>
      </c>
      <c r="G2" t="s">
        <v>6</v>
      </c>
      <c r="I2" s="76" t="s">
        <v>28</v>
      </c>
    </row>
    <row r="3" spans="1:30" x14ac:dyDescent="0.3">
      <c r="A3" s="13" t="s">
        <v>0</v>
      </c>
      <c r="B3" s="14" t="s">
        <v>1</v>
      </c>
      <c r="C3" s="15" t="s">
        <v>2</v>
      </c>
      <c r="E3" t="s">
        <v>9</v>
      </c>
      <c r="F3">
        <v>-25</v>
      </c>
      <c r="G3" t="s">
        <v>8</v>
      </c>
      <c r="H3">
        <v>-4</v>
      </c>
      <c r="I3" s="66" t="s">
        <v>87</v>
      </c>
      <c r="J3" s="59"/>
      <c r="K3" s="59"/>
      <c r="L3" s="59"/>
      <c r="M3" s="60"/>
      <c r="V3">
        <v>1</v>
      </c>
      <c r="W3">
        <v>2</v>
      </c>
      <c r="X3">
        <v>3</v>
      </c>
      <c r="Y3">
        <v>4</v>
      </c>
      <c r="Z3">
        <v>5</v>
      </c>
      <c r="AA3">
        <v>6</v>
      </c>
      <c r="AB3">
        <v>7</v>
      </c>
      <c r="AC3">
        <v>8</v>
      </c>
      <c r="AD3">
        <v>9</v>
      </c>
    </row>
    <row r="4" spans="1:30" x14ac:dyDescent="0.3">
      <c r="A4" s="22">
        <v>0</v>
      </c>
      <c r="B4" s="12">
        <v>-25</v>
      </c>
      <c r="C4" s="16">
        <v>0</v>
      </c>
      <c r="G4" t="s">
        <v>5</v>
      </c>
      <c r="H4">
        <v>5</v>
      </c>
      <c r="I4" s="75" t="s">
        <v>88</v>
      </c>
      <c r="M4" s="62"/>
    </row>
    <row r="5" spans="1:30" ht="15" thickBot="1" x14ac:dyDescent="0.35">
      <c r="A5" s="22">
        <v>1</v>
      </c>
      <c r="B5" s="12">
        <v>0</v>
      </c>
      <c r="C5" s="16">
        <v>-4</v>
      </c>
      <c r="G5" t="s">
        <v>7</v>
      </c>
      <c r="H5" s="5">
        <v>0.12</v>
      </c>
      <c r="I5" s="67" t="s">
        <v>89</v>
      </c>
      <c r="J5" s="1"/>
      <c r="K5" s="1"/>
      <c r="L5" s="1"/>
      <c r="M5" s="2"/>
    </row>
    <row r="6" spans="1:30" ht="15" thickBot="1" x14ac:dyDescent="0.35">
      <c r="A6" s="22">
        <v>2</v>
      </c>
      <c r="B6" s="12">
        <v>0</v>
      </c>
      <c r="C6" s="16">
        <v>-4</v>
      </c>
      <c r="E6" s="6" t="s">
        <v>4</v>
      </c>
      <c r="F6" s="8">
        <v>25</v>
      </c>
      <c r="G6" s="7" t="s">
        <v>4</v>
      </c>
      <c r="H6" s="9">
        <f>PV(H5,H4,H3)</f>
        <v>14.419104809380027</v>
      </c>
    </row>
    <row r="7" spans="1:30" x14ac:dyDescent="0.3">
      <c r="A7" s="22">
        <v>3</v>
      </c>
      <c r="B7" s="12">
        <v>0</v>
      </c>
      <c r="C7" s="16">
        <v>-4</v>
      </c>
      <c r="G7" t="s">
        <v>11</v>
      </c>
    </row>
    <row r="8" spans="1:30" x14ac:dyDescent="0.3">
      <c r="A8" s="22">
        <v>4</v>
      </c>
      <c r="B8" s="12">
        <v>0</v>
      </c>
      <c r="C8" s="16">
        <v>-4</v>
      </c>
    </row>
    <row r="9" spans="1:30" x14ac:dyDescent="0.3">
      <c r="A9" s="23">
        <v>5</v>
      </c>
      <c r="B9" s="17">
        <v>0</v>
      </c>
      <c r="C9" s="18">
        <v>-4</v>
      </c>
    </row>
    <row r="10" spans="1:30" x14ac:dyDescent="0.3">
      <c r="A10" s="10" t="s">
        <v>10</v>
      </c>
    </row>
    <row r="21" spans="2:11" x14ac:dyDescent="0.3">
      <c r="B21" t="s">
        <v>52</v>
      </c>
    </row>
    <row r="22" spans="2:11" x14ac:dyDescent="0.3">
      <c r="B22" s="19" t="s">
        <v>10</v>
      </c>
      <c r="C22" s="20" t="s">
        <v>16</v>
      </c>
      <c r="D22" s="20" t="s">
        <v>17</v>
      </c>
      <c r="E22" s="12"/>
      <c r="F22" s="12"/>
      <c r="G22" s="12"/>
      <c r="H22" s="12"/>
      <c r="I22" s="12" t="s">
        <v>0</v>
      </c>
      <c r="J22" t="s">
        <v>16</v>
      </c>
      <c r="K22" s="12" t="s">
        <v>17</v>
      </c>
    </row>
    <row r="23" spans="2:11" x14ac:dyDescent="0.3">
      <c r="B23" s="11" t="s">
        <v>12</v>
      </c>
      <c r="C23" s="12">
        <v>11</v>
      </c>
      <c r="D23" s="12">
        <v>18</v>
      </c>
      <c r="E23" s="12"/>
      <c r="F23" s="12"/>
      <c r="G23" s="12"/>
      <c r="H23" s="12"/>
      <c r="I23" s="21">
        <v>0</v>
      </c>
      <c r="J23">
        <v>-11</v>
      </c>
      <c r="K23">
        <v>-18</v>
      </c>
    </row>
    <row r="24" spans="2:11" x14ac:dyDescent="0.3">
      <c r="B24" s="11" t="s">
        <v>72</v>
      </c>
      <c r="C24" s="12">
        <v>3.5</v>
      </c>
      <c r="D24" s="12">
        <v>3.1</v>
      </c>
      <c r="E24" s="12"/>
      <c r="F24" s="12"/>
      <c r="G24" s="12"/>
      <c r="H24" s="12"/>
      <c r="I24" s="21">
        <v>1</v>
      </c>
      <c r="J24">
        <v>-3.5</v>
      </c>
      <c r="K24">
        <v>-3.1</v>
      </c>
    </row>
    <row r="25" spans="2:11" x14ac:dyDescent="0.3">
      <c r="B25" s="11" t="s">
        <v>14</v>
      </c>
      <c r="C25" s="12">
        <v>1</v>
      </c>
      <c r="D25" s="12">
        <v>2</v>
      </c>
      <c r="E25" s="12"/>
      <c r="F25" s="12"/>
      <c r="G25" s="12"/>
      <c r="H25" s="12"/>
      <c r="I25" s="21">
        <v>2</v>
      </c>
      <c r="J25">
        <v>-3.5</v>
      </c>
      <c r="K25">
        <v>-3.1</v>
      </c>
    </row>
    <row r="26" spans="2:11" x14ac:dyDescent="0.3">
      <c r="B26" s="12" t="s">
        <v>15</v>
      </c>
      <c r="C26" s="12">
        <v>6</v>
      </c>
      <c r="D26" s="12">
        <v>9</v>
      </c>
      <c r="E26" s="12"/>
      <c r="F26" s="12"/>
      <c r="G26" s="12"/>
      <c r="H26" s="12"/>
      <c r="I26" s="21">
        <v>3</v>
      </c>
      <c r="J26">
        <v>-3.5</v>
      </c>
      <c r="K26">
        <v>-3.1</v>
      </c>
    </row>
    <row r="27" spans="2:11" x14ac:dyDescent="0.3">
      <c r="B27" s="78" t="s">
        <v>18</v>
      </c>
      <c r="C27" s="78"/>
      <c r="D27" s="78"/>
      <c r="E27" s="78"/>
      <c r="F27" s="78"/>
      <c r="G27" s="78"/>
      <c r="H27" s="78"/>
      <c r="I27" s="21">
        <v>4</v>
      </c>
      <c r="J27">
        <v>-3.5</v>
      </c>
      <c r="K27">
        <v>-3.1</v>
      </c>
    </row>
    <row r="28" spans="2:11" x14ac:dyDescent="0.3">
      <c r="B28" s="74" t="s">
        <v>28</v>
      </c>
      <c r="C28" s="12"/>
      <c r="D28" s="12"/>
      <c r="E28" s="12"/>
      <c r="F28" s="12"/>
      <c r="G28" s="12"/>
      <c r="H28" s="12"/>
      <c r="I28" s="21">
        <v>5</v>
      </c>
      <c r="J28">
        <f>-3.5</f>
        <v>-3.5</v>
      </c>
      <c r="K28">
        <v>-3.1</v>
      </c>
    </row>
    <row r="29" spans="2:11" ht="15.6" x14ac:dyDescent="0.3">
      <c r="B29" s="29" t="s">
        <v>32</v>
      </c>
      <c r="C29" s="37"/>
      <c r="D29" s="37"/>
      <c r="E29" s="37"/>
      <c r="F29" s="37"/>
      <c r="G29" s="37"/>
      <c r="H29" s="38"/>
      <c r="I29" s="21">
        <v>6</v>
      </c>
      <c r="J29">
        <f>-3.5+1</f>
        <v>-2.5</v>
      </c>
      <c r="K29">
        <v>-3.1</v>
      </c>
    </row>
    <row r="30" spans="2:11" ht="15.6" x14ac:dyDescent="0.3">
      <c r="B30" s="39" t="s">
        <v>31</v>
      </c>
      <c r="C30" s="40"/>
      <c r="D30" s="40"/>
      <c r="E30" s="40"/>
      <c r="F30" s="40"/>
      <c r="G30" s="40"/>
      <c r="H30" s="41"/>
      <c r="I30" s="21">
        <v>7</v>
      </c>
      <c r="K30">
        <v>-3.1</v>
      </c>
    </row>
    <row r="31" spans="2:11" ht="15.6" x14ac:dyDescent="0.3">
      <c r="B31" s="42" t="s">
        <v>33</v>
      </c>
      <c r="C31" s="43"/>
      <c r="D31" s="43"/>
      <c r="E31" s="43"/>
      <c r="F31" s="43"/>
      <c r="G31" s="43"/>
      <c r="H31" s="44"/>
      <c r="I31" s="21">
        <v>8</v>
      </c>
      <c r="K31">
        <v>-3.1</v>
      </c>
    </row>
    <row r="32" spans="2:11" x14ac:dyDescent="0.3">
      <c r="I32" s="21">
        <v>9</v>
      </c>
      <c r="K32">
        <f>-3.1+2</f>
        <v>-1.1000000000000001</v>
      </c>
    </row>
    <row r="33" spans="2:11" x14ac:dyDescent="0.3">
      <c r="J33" t="s">
        <v>7</v>
      </c>
      <c r="K33" s="5">
        <v>0.15</v>
      </c>
    </row>
    <row r="34" spans="2:11" x14ac:dyDescent="0.3">
      <c r="J34" s="12" t="s">
        <v>19</v>
      </c>
      <c r="K34" s="28">
        <f>-(NPV(K33,J24:J29)+J23)</f>
        <v>23.813361832818799</v>
      </c>
    </row>
    <row r="35" spans="2:11" x14ac:dyDescent="0.3">
      <c r="J35" t="s">
        <v>55</v>
      </c>
    </row>
    <row r="36" spans="2:11" x14ac:dyDescent="0.3">
      <c r="J36" t="s">
        <v>20</v>
      </c>
      <c r="K36" s="24">
        <f>-(NPV(K33,K24:K32)+K23)</f>
        <v>32.223385327090043</v>
      </c>
    </row>
    <row r="37" spans="2:11" x14ac:dyDescent="0.3">
      <c r="J37" t="s">
        <v>56</v>
      </c>
    </row>
    <row r="46" spans="2:11" x14ac:dyDescent="0.3">
      <c r="B46" s="79" t="s">
        <v>21</v>
      </c>
      <c r="C46" s="79"/>
      <c r="D46" s="79"/>
      <c r="E46" s="79"/>
      <c r="F46" s="79"/>
      <c r="G46" s="79"/>
      <c r="H46" s="79"/>
      <c r="I46" s="79"/>
      <c r="J46" s="79"/>
    </row>
    <row r="48" spans="2:11" x14ac:dyDescent="0.3">
      <c r="B48" s="19" t="s">
        <v>10</v>
      </c>
      <c r="C48" s="20" t="s">
        <v>16</v>
      </c>
      <c r="D48" s="20" t="s">
        <v>17</v>
      </c>
      <c r="F48" s="12" t="s">
        <v>0</v>
      </c>
      <c r="G48" t="s">
        <v>16</v>
      </c>
      <c r="H48" s="12" t="s">
        <v>17</v>
      </c>
      <c r="J48" s="12"/>
    </row>
    <row r="49" spans="2:17" x14ac:dyDescent="0.3">
      <c r="B49" s="11" t="s">
        <v>12</v>
      </c>
      <c r="C49" s="12">
        <v>11</v>
      </c>
      <c r="D49" s="12">
        <v>18</v>
      </c>
      <c r="F49" s="21">
        <v>0</v>
      </c>
      <c r="G49">
        <v>-11</v>
      </c>
      <c r="H49">
        <v>-18</v>
      </c>
    </row>
    <row r="50" spans="2:17" x14ac:dyDescent="0.3">
      <c r="B50" s="11" t="s">
        <v>13</v>
      </c>
      <c r="C50" s="12">
        <v>3.5</v>
      </c>
      <c r="D50" s="12">
        <v>3.1</v>
      </c>
      <c r="F50" s="21">
        <v>1</v>
      </c>
      <c r="G50">
        <v>-3.5</v>
      </c>
      <c r="H50">
        <v>-3.1</v>
      </c>
      <c r="J50" s="27" t="s">
        <v>26</v>
      </c>
      <c r="K50" s="27"/>
      <c r="L50" s="27"/>
      <c r="M50" s="27"/>
    </row>
    <row r="51" spans="2:17" x14ac:dyDescent="0.3">
      <c r="B51" s="11" t="s">
        <v>14</v>
      </c>
      <c r="C51" s="25">
        <f>C49-(11/6-1/6)*5</f>
        <v>2.6666666666666679</v>
      </c>
      <c r="D51" s="26">
        <f>D49-(18/9-2/9)*5</f>
        <v>9.1111111111111107</v>
      </c>
      <c r="F51" s="21">
        <v>2</v>
      </c>
      <c r="G51">
        <v>-3.5</v>
      </c>
      <c r="H51">
        <v>-3.1</v>
      </c>
      <c r="J51" s="80" t="s">
        <v>22</v>
      </c>
      <c r="K51" s="81"/>
      <c r="L51" s="3" t="s">
        <v>23</v>
      </c>
      <c r="M51" s="3"/>
      <c r="N51" s="3"/>
      <c r="O51" s="4"/>
    </row>
    <row r="52" spans="2:17" x14ac:dyDescent="0.3">
      <c r="B52" s="12" t="s">
        <v>15</v>
      </c>
      <c r="C52" s="12">
        <v>5</v>
      </c>
      <c r="D52" s="12">
        <v>5</v>
      </c>
      <c r="F52" s="21">
        <v>3</v>
      </c>
      <c r="G52">
        <v>-3.5</v>
      </c>
      <c r="H52">
        <v>-3.1</v>
      </c>
      <c r="J52" s="82"/>
      <c r="K52" s="83"/>
      <c r="L52" s="1"/>
      <c r="M52" s="1" t="s">
        <v>24</v>
      </c>
      <c r="N52" s="1"/>
      <c r="O52" s="2"/>
    </row>
    <row r="53" spans="2:17" x14ac:dyDescent="0.3">
      <c r="F53" s="21">
        <v>4</v>
      </c>
      <c r="G53">
        <v>-3.5</v>
      </c>
      <c r="H53">
        <v>-3.1</v>
      </c>
    </row>
    <row r="54" spans="2:17" x14ac:dyDescent="0.3">
      <c r="F54" s="21">
        <v>5</v>
      </c>
      <c r="G54">
        <f>-(3.5+-2.67)</f>
        <v>-0.83000000000000007</v>
      </c>
      <c r="H54">
        <f>-3.1+9.11</f>
        <v>6.01</v>
      </c>
      <c r="J54" s="27" t="s">
        <v>25</v>
      </c>
    </row>
    <row r="55" spans="2:17" x14ac:dyDescent="0.3">
      <c r="F55" t="s">
        <v>7</v>
      </c>
      <c r="G55" s="5">
        <v>0.15</v>
      </c>
      <c r="J55" s="84" t="s">
        <v>27</v>
      </c>
      <c r="K55" s="85"/>
      <c r="L55" s="85"/>
      <c r="M55" s="85"/>
      <c r="N55" s="85"/>
      <c r="O55" s="86"/>
    </row>
    <row r="56" spans="2:17" x14ac:dyDescent="0.3">
      <c r="F56" t="s">
        <v>19</v>
      </c>
      <c r="G56" s="25">
        <f>(NPV(G55,G50:G54)+G49)</f>
        <v>-21.405080959793473</v>
      </c>
    </row>
    <row r="57" spans="2:17" x14ac:dyDescent="0.3">
      <c r="F57" t="s">
        <v>57</v>
      </c>
    </row>
    <row r="58" spans="2:17" x14ac:dyDescent="0.3">
      <c r="F58" t="s">
        <v>20</v>
      </c>
      <c r="G58" s="25">
        <f>(NPV(G55,H50:H54)+H49)</f>
        <v>-23.86240074526793</v>
      </c>
    </row>
    <row r="59" spans="2:17" ht="15.6" x14ac:dyDescent="0.3">
      <c r="F59" t="s">
        <v>58</v>
      </c>
      <c r="Q59" s="36"/>
    </row>
    <row r="60" spans="2:17" ht="15.6" x14ac:dyDescent="0.3">
      <c r="F60" s="77" t="s">
        <v>28</v>
      </c>
      <c r="Q60" s="36"/>
    </row>
    <row r="61" spans="2:17" ht="15.6" x14ac:dyDescent="0.3">
      <c r="F61" s="30" t="s">
        <v>30</v>
      </c>
      <c r="G61" s="31"/>
      <c r="H61" s="31"/>
      <c r="I61" s="31"/>
      <c r="J61" s="31"/>
      <c r="K61" s="31"/>
      <c r="L61" s="31"/>
      <c r="M61" s="31"/>
      <c r="N61" s="31"/>
      <c r="O61" s="31"/>
      <c r="P61" s="32"/>
    </row>
    <row r="62" spans="2:17" ht="15.6" x14ac:dyDescent="0.3">
      <c r="F62" s="33" t="s">
        <v>29</v>
      </c>
      <c r="G62" s="34"/>
      <c r="H62" s="34"/>
      <c r="I62" s="34"/>
      <c r="J62" s="34"/>
      <c r="K62" s="34"/>
      <c r="L62" s="34"/>
      <c r="M62" s="34"/>
      <c r="N62" s="34"/>
      <c r="O62" s="34"/>
      <c r="P62" s="35"/>
    </row>
  </sheetData>
  <mergeCells count="4">
    <mergeCell ref="B27:H27"/>
    <mergeCell ref="B46:J46"/>
    <mergeCell ref="J51:K52"/>
    <mergeCell ref="J55:O5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857D4-2A51-4CF2-94CE-CC36A12270BE}">
  <dimension ref="A1:O19"/>
  <sheetViews>
    <sheetView workbookViewId="0">
      <selection activeCell="F23" sqref="F23"/>
    </sheetView>
  </sheetViews>
  <sheetFormatPr defaultRowHeight="14.4" x14ac:dyDescent="0.3"/>
  <cols>
    <col min="2" max="2" width="16.33203125" customWidth="1"/>
    <col min="4" max="4" width="17.5546875" customWidth="1"/>
    <col min="6" max="6" width="8.88671875" customWidth="1"/>
    <col min="7" max="7" width="14.5546875" customWidth="1"/>
  </cols>
  <sheetData>
    <row r="1" spans="1:15" x14ac:dyDescent="0.3">
      <c r="A1" s="58" t="s">
        <v>53</v>
      </c>
      <c r="B1" s="59"/>
      <c r="C1" s="59"/>
      <c r="D1" s="59"/>
      <c r="E1" s="59"/>
      <c r="F1" s="60"/>
    </row>
    <row r="2" spans="1:15" x14ac:dyDescent="0.3">
      <c r="A2" s="61" t="s">
        <v>34</v>
      </c>
      <c r="F2" s="62"/>
    </row>
    <row r="3" spans="1:15" x14ac:dyDescent="0.3">
      <c r="A3" s="61" t="s">
        <v>35</v>
      </c>
      <c r="F3" s="62"/>
    </row>
    <row r="4" spans="1:15" x14ac:dyDescent="0.3">
      <c r="A4" s="63" t="s">
        <v>36</v>
      </c>
      <c r="B4" s="1"/>
      <c r="C4" s="1"/>
      <c r="D4" s="1"/>
      <c r="E4" s="1"/>
      <c r="F4" s="2"/>
    </row>
    <row r="6" spans="1:15" x14ac:dyDescent="0.3">
      <c r="A6" s="11" t="s">
        <v>0</v>
      </c>
      <c r="B6" s="12" t="s">
        <v>40</v>
      </c>
      <c r="D6" s="19" t="s">
        <v>39</v>
      </c>
      <c r="E6" s="20" t="s">
        <v>38</v>
      </c>
      <c r="F6" s="20"/>
    </row>
    <row r="7" spans="1:15" x14ac:dyDescent="0.3">
      <c r="A7" s="12">
        <v>0</v>
      </c>
      <c r="B7" s="12">
        <v>-4600</v>
      </c>
      <c r="D7" s="11" t="s">
        <v>12</v>
      </c>
      <c r="E7" s="12">
        <v>4600</v>
      </c>
      <c r="F7" s="12"/>
    </row>
    <row r="8" spans="1:15" x14ac:dyDescent="0.3">
      <c r="A8" s="12">
        <v>1</v>
      </c>
      <c r="B8" s="12">
        <v>-650</v>
      </c>
      <c r="D8" s="11" t="s">
        <v>72</v>
      </c>
      <c r="E8" s="21" t="s">
        <v>50</v>
      </c>
      <c r="F8" s="12"/>
    </row>
    <row r="9" spans="1:15" x14ac:dyDescent="0.3">
      <c r="A9" s="12">
        <v>2</v>
      </c>
      <c r="B9" s="12">
        <v>-700</v>
      </c>
      <c r="D9" s="11" t="s">
        <v>14</v>
      </c>
      <c r="E9" s="12">
        <v>300</v>
      </c>
      <c r="F9" s="12"/>
    </row>
    <row r="10" spans="1:15" x14ac:dyDescent="0.3">
      <c r="A10" s="12">
        <v>3</v>
      </c>
      <c r="B10" s="12">
        <v>-750</v>
      </c>
      <c r="D10" s="12" t="s">
        <v>15</v>
      </c>
      <c r="E10" s="12">
        <v>5</v>
      </c>
      <c r="F10" s="12"/>
    </row>
    <row r="11" spans="1:15" x14ac:dyDescent="0.3">
      <c r="A11" s="12">
        <v>4</v>
      </c>
      <c r="B11" s="12">
        <v>-800</v>
      </c>
      <c r="D11" s="11" t="s">
        <v>42</v>
      </c>
      <c r="E11" s="46">
        <f>NPV(B13,B8:B12)+B7</f>
        <v>-7220.8250802540806</v>
      </c>
    </row>
    <row r="12" spans="1:15" x14ac:dyDescent="0.3">
      <c r="A12" s="12">
        <v>5</v>
      </c>
      <c r="B12" s="12">
        <f>-850+300</f>
        <v>-550</v>
      </c>
      <c r="D12" s="11" t="s">
        <v>43</v>
      </c>
      <c r="E12" s="46">
        <f>(NPV(B13,B8:B12)+B7)*5</f>
        <v>-36104.125401270401</v>
      </c>
    </row>
    <row r="13" spans="1:15" x14ac:dyDescent="0.3">
      <c r="A13" s="12" t="s">
        <v>37</v>
      </c>
      <c r="B13" s="45">
        <v>0.1</v>
      </c>
      <c r="C13" s="47" t="s">
        <v>54</v>
      </c>
      <c r="D13" s="48"/>
      <c r="E13" s="48"/>
      <c r="F13" s="49"/>
      <c r="G13" s="27"/>
    </row>
    <row r="14" spans="1:15" ht="15.6" x14ac:dyDescent="0.3">
      <c r="A14" s="73" t="s">
        <v>44</v>
      </c>
      <c r="B14" s="51"/>
      <c r="C14" s="51"/>
      <c r="D14" s="51"/>
      <c r="E14" s="52"/>
      <c r="F14" s="51"/>
      <c r="G14" s="51"/>
      <c r="H14" s="51"/>
      <c r="I14" s="51"/>
      <c r="J14" s="51"/>
      <c r="K14" s="51"/>
    </row>
    <row r="15" spans="1:15" ht="15.6" x14ac:dyDescent="0.3">
      <c r="A15" s="29" t="s">
        <v>47</v>
      </c>
      <c r="B15" s="37"/>
      <c r="C15" s="37"/>
      <c r="D15" s="37"/>
      <c r="E15" s="37"/>
      <c r="F15" s="37"/>
      <c r="G15" s="53"/>
      <c r="H15" s="50"/>
      <c r="I15" s="50"/>
      <c r="J15" s="50"/>
      <c r="K15" s="50"/>
    </row>
    <row r="16" spans="1:15" ht="15.6" x14ac:dyDescent="0.3">
      <c r="A16" s="39" t="s">
        <v>48</v>
      </c>
      <c r="B16" s="50"/>
      <c r="C16" s="50"/>
      <c r="D16" s="50"/>
      <c r="E16" s="50"/>
      <c r="F16" s="50"/>
      <c r="G16" s="54"/>
      <c r="H16" s="50"/>
      <c r="I16" s="50"/>
      <c r="J16" s="50"/>
      <c r="K16" s="50"/>
      <c r="O16" t="s">
        <v>41</v>
      </c>
    </row>
    <row r="17" spans="1:11" ht="15.6" x14ac:dyDescent="0.3">
      <c r="A17" s="39" t="s">
        <v>46</v>
      </c>
      <c r="B17" s="50"/>
      <c r="C17" s="50"/>
      <c r="D17" s="50"/>
      <c r="E17" s="50"/>
      <c r="F17" s="50"/>
      <c r="G17" s="54"/>
      <c r="H17" s="50"/>
      <c r="I17" s="50"/>
      <c r="J17" s="50"/>
      <c r="K17" s="50"/>
    </row>
    <row r="18" spans="1:11" ht="15.6" x14ac:dyDescent="0.3">
      <c r="A18" s="39" t="s">
        <v>45</v>
      </c>
      <c r="B18" s="50"/>
      <c r="C18" s="50"/>
      <c r="D18" s="50"/>
      <c r="E18" s="50"/>
      <c r="F18" s="50"/>
      <c r="G18" s="54"/>
      <c r="H18" s="50"/>
      <c r="I18" s="50"/>
      <c r="J18" s="50"/>
      <c r="K18" s="50"/>
    </row>
    <row r="19" spans="1:11" ht="15.6" x14ac:dyDescent="0.3">
      <c r="A19" s="55" t="s">
        <v>49</v>
      </c>
      <c r="B19" s="56"/>
      <c r="C19" s="56"/>
      <c r="D19" s="56"/>
      <c r="E19" s="56"/>
      <c r="F19" s="56"/>
      <c r="G19" s="57"/>
      <c r="H19" s="50"/>
      <c r="I19" s="50"/>
      <c r="J19" s="50"/>
      <c r="K19" s="5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9CD29-0FE8-4CE0-942C-E4CD2733FA75}">
  <dimension ref="A1:H18"/>
  <sheetViews>
    <sheetView tabSelected="1" workbookViewId="0">
      <selection activeCell="E25" sqref="E25"/>
    </sheetView>
  </sheetViews>
  <sheetFormatPr defaultRowHeight="14.4" x14ac:dyDescent="0.3"/>
  <cols>
    <col min="1" max="1" width="18.88671875" customWidth="1"/>
    <col min="2" max="2" width="18.5546875" customWidth="1"/>
    <col min="3" max="3" width="10.88671875" customWidth="1"/>
    <col min="4" max="4" width="14.33203125" customWidth="1"/>
    <col min="5" max="5" width="9.77734375" customWidth="1"/>
    <col min="6" max="6" width="9.33203125" customWidth="1"/>
  </cols>
  <sheetData>
    <row r="1" spans="1:8" x14ac:dyDescent="0.3">
      <c r="A1" s="64" t="s">
        <v>59</v>
      </c>
    </row>
    <row r="2" spans="1:8" x14ac:dyDescent="0.3">
      <c r="A2" s="65" t="s">
        <v>60</v>
      </c>
      <c r="D2" s="66" t="s">
        <v>69</v>
      </c>
      <c r="E2" s="59"/>
      <c r="F2" s="59"/>
      <c r="G2" s="60"/>
    </row>
    <row r="3" spans="1:8" x14ac:dyDescent="0.3">
      <c r="A3" s="65" t="s">
        <v>61</v>
      </c>
      <c r="D3" s="67" t="s">
        <v>70</v>
      </c>
      <c r="E3" s="1"/>
      <c r="F3" s="1"/>
      <c r="G3" s="2"/>
    </row>
    <row r="4" spans="1:8" x14ac:dyDescent="0.3">
      <c r="A4" s="19" t="s">
        <v>64</v>
      </c>
      <c r="B4" s="20" t="s">
        <v>62</v>
      </c>
      <c r="C4" s="20" t="s">
        <v>63</v>
      </c>
      <c r="D4" s="20" t="s">
        <v>66</v>
      </c>
      <c r="E4" s="20" t="s">
        <v>80</v>
      </c>
    </row>
    <row r="5" spans="1:8" x14ac:dyDescent="0.3">
      <c r="A5" s="11" t="s">
        <v>12</v>
      </c>
      <c r="B5" s="12">
        <v>85</v>
      </c>
      <c r="C5" s="12">
        <v>25</v>
      </c>
      <c r="D5" s="12" t="s">
        <v>65</v>
      </c>
      <c r="E5" t="s">
        <v>78</v>
      </c>
    </row>
    <row r="6" spans="1:8" x14ac:dyDescent="0.3">
      <c r="A6" s="11" t="s">
        <v>13</v>
      </c>
      <c r="B6" s="12">
        <f>(42+(42*10%))</f>
        <v>46.2</v>
      </c>
      <c r="C6" s="12">
        <v>42</v>
      </c>
      <c r="D6" s="12" t="s">
        <v>65</v>
      </c>
      <c r="E6" t="s">
        <v>79</v>
      </c>
    </row>
    <row r="7" spans="1:8" x14ac:dyDescent="0.3">
      <c r="A7" s="11" t="s">
        <v>14</v>
      </c>
      <c r="B7" s="12">
        <v>0</v>
      </c>
      <c r="C7" s="12">
        <v>0</v>
      </c>
      <c r="D7" s="12" t="s">
        <v>65</v>
      </c>
    </row>
    <row r="8" spans="1:8" x14ac:dyDescent="0.3">
      <c r="A8" s="12" t="s">
        <v>73</v>
      </c>
      <c r="B8" s="12">
        <v>6</v>
      </c>
      <c r="C8" s="12">
        <v>2</v>
      </c>
      <c r="D8" s="12" t="s">
        <v>65</v>
      </c>
    </row>
    <row r="9" spans="1:8" x14ac:dyDescent="0.3">
      <c r="A9" s="11"/>
    </row>
    <row r="10" spans="1:8" x14ac:dyDescent="0.3">
      <c r="A10" s="11" t="s">
        <v>0</v>
      </c>
      <c r="B10" s="12" t="s">
        <v>68</v>
      </c>
      <c r="C10" t="s">
        <v>71</v>
      </c>
      <c r="D10" s="12" t="s">
        <v>74</v>
      </c>
      <c r="E10" s="68">
        <f>NPV(C18,B12:B17)+B11</f>
        <v>-274.9470183467314</v>
      </c>
    </row>
    <row r="11" spans="1:8" x14ac:dyDescent="0.3">
      <c r="A11" s="12">
        <v>0</v>
      </c>
      <c r="B11" s="12">
        <v>-85</v>
      </c>
      <c r="C11" s="12">
        <v>-25</v>
      </c>
      <c r="D11" s="12" t="s">
        <v>82</v>
      </c>
      <c r="E11">
        <f>E10*4</f>
        <v>-1099.7880733869256</v>
      </c>
    </row>
    <row r="12" spans="1:8" x14ac:dyDescent="0.3">
      <c r="A12" s="12">
        <v>1</v>
      </c>
      <c r="B12" s="12">
        <f>-(42+(42*10%))</f>
        <v>-46.2</v>
      </c>
      <c r="C12" s="12">
        <v>-42</v>
      </c>
      <c r="D12" s="69" t="s">
        <v>77</v>
      </c>
      <c r="E12" s="70"/>
      <c r="F12" s="70"/>
      <c r="G12" s="70"/>
      <c r="H12" s="71"/>
    </row>
    <row r="13" spans="1:8" x14ac:dyDescent="0.3">
      <c r="A13" s="12">
        <v>2</v>
      </c>
      <c r="B13" s="12">
        <f t="shared" ref="B13:B17" si="0">-(42+(42*10%))</f>
        <v>-46.2</v>
      </c>
      <c r="C13" s="12">
        <v>-42</v>
      </c>
      <c r="D13" s="12" t="s">
        <v>75</v>
      </c>
      <c r="E13" s="68">
        <f>NPV(C18,C12:C17)+C11</f>
        <v>-229.65928517623792</v>
      </c>
    </row>
    <row r="14" spans="1:8" x14ac:dyDescent="0.3">
      <c r="A14" s="12">
        <v>3</v>
      </c>
      <c r="B14" s="12">
        <f t="shared" si="0"/>
        <v>-46.2</v>
      </c>
      <c r="C14" s="12">
        <f>-25+-42</f>
        <v>-67</v>
      </c>
      <c r="D14" s="12" t="s">
        <v>81</v>
      </c>
      <c r="E14" s="68">
        <f>E13*4</f>
        <v>-918.63714070495166</v>
      </c>
    </row>
    <row r="15" spans="1:8" x14ac:dyDescent="0.3">
      <c r="A15" s="12">
        <v>4</v>
      </c>
      <c r="B15" s="12">
        <f t="shared" si="0"/>
        <v>-46.2</v>
      </c>
      <c r="C15" s="12">
        <v>-42</v>
      </c>
      <c r="D15" s="69" t="s">
        <v>76</v>
      </c>
      <c r="E15" s="3"/>
      <c r="F15" s="3"/>
      <c r="G15" s="3"/>
      <c r="H15" s="4"/>
    </row>
    <row r="16" spans="1:8" x14ac:dyDescent="0.3">
      <c r="A16" s="12">
        <v>5</v>
      </c>
      <c r="B16" s="12">
        <f t="shared" si="0"/>
        <v>-46.2</v>
      </c>
      <c r="C16" s="12">
        <f>-25+-42</f>
        <v>-67</v>
      </c>
      <c r="D16" s="72" t="s">
        <v>28</v>
      </c>
    </row>
    <row r="17" spans="1:8" x14ac:dyDescent="0.3">
      <c r="A17" s="12">
        <v>6</v>
      </c>
      <c r="B17" s="12">
        <f t="shared" si="0"/>
        <v>-46.2</v>
      </c>
      <c r="C17" s="12">
        <v>-42</v>
      </c>
      <c r="D17" s="87" t="s">
        <v>83</v>
      </c>
      <c r="E17" s="88"/>
      <c r="F17" s="88"/>
      <c r="G17" s="88"/>
      <c r="H17" s="89"/>
    </row>
    <row r="18" spans="1:8" x14ac:dyDescent="0.3">
      <c r="B18" s="46" t="s">
        <v>67</v>
      </c>
      <c r="C18" s="5">
        <v>0.12</v>
      </c>
      <c r="D18" s="90" t="s">
        <v>84</v>
      </c>
      <c r="E18" s="91"/>
      <c r="F18" s="91"/>
      <c r="G18" s="91"/>
      <c r="H18" s="92"/>
    </row>
  </sheetData>
  <mergeCells count="2">
    <mergeCell ref="D17:H17"/>
    <mergeCell ref="D18:H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Cashflow Comparison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Phương Huỳnh Hoàng</cp:lastModifiedBy>
  <dcterms:created xsi:type="dcterms:W3CDTF">2025-10-02T11:55:18Z</dcterms:created>
  <dcterms:modified xsi:type="dcterms:W3CDTF">2025-10-05T04:09:05Z</dcterms:modified>
</cp:coreProperties>
</file>